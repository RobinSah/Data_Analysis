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12" windowWidth="11520" windowHeight="11148"/>
  </bookViews>
  <sheets>
    <sheet name="PCA Analysis - Template" sheetId="16" r:id="rId1"/>
    <sheet name="PCA Analysis" sheetId="15" r:id="rId2"/>
    <sheet name="MINITAB OUTPUT" sheetId="14" r:id="rId3"/>
    <sheet name="Scree Plot" sheetId="12" r:id="rId4"/>
    <sheet name="Loading Plot" sheetId="13" r:id="rId5"/>
  </sheets>
  <definedNames>
    <definedName name="solver_adj" localSheetId="1" hidden="1">'PCA Analysis'!$I$13:$I$15</definedName>
    <definedName name="solver_adj" localSheetId="0" hidden="1">'PCA Analysis - Template'!$I$13:$I$15</definedName>
    <definedName name="solver_cvg" localSheetId="1" hidden="1">0.000001</definedName>
    <definedName name="solver_cvg" localSheetId="0" hidden="1">0.000001</definedName>
    <definedName name="solver_drv" localSheetId="1" hidden="1">1</definedName>
    <definedName name="solver_drv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1" hidden="1">'PCA Analysis'!#REF!</definedName>
    <definedName name="solver_lhs1" localSheetId="0" hidden="1">'PCA Analysis - Template'!#REF!</definedName>
    <definedName name="solver_lhs2" localSheetId="1" hidden="1">'PCA Analysis'!#REF!</definedName>
    <definedName name="solver_lhs2" localSheetId="0" hidden="1">'PCA Analysis - Template'!#REF!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2</definedName>
    <definedName name="solver_num" localSheetId="0" hidden="1">2</definedName>
    <definedName name="solver_nwt" localSheetId="1" hidden="1">1</definedName>
    <definedName name="solver_nwt" localSheetId="0" hidden="1">1</definedName>
    <definedName name="solver_opt" localSheetId="1" hidden="1">'PCA Analysis'!#REF!</definedName>
    <definedName name="solver_opt" localSheetId="0" hidden="1">'PCA Analysis - Template'!#REF!</definedName>
    <definedName name="solver_pre" localSheetId="1" hidden="1">0.000001</definedName>
    <definedName name="solver_pre" localSheetId="0" hidden="1">0.000001</definedName>
    <definedName name="solver_rel1" localSheetId="1" hidden="1">2</definedName>
    <definedName name="solver_rel1" localSheetId="0" hidden="1">2</definedName>
    <definedName name="solver_rel2" localSheetId="1" hidden="1">2</definedName>
    <definedName name="solver_rel2" localSheetId="0" hidden="1">2</definedName>
    <definedName name="solver_rhs1" localSheetId="1" hidden="1">1</definedName>
    <definedName name="solver_rhs1" localSheetId="0" hidden="1">1</definedName>
    <definedName name="solver_rhs2" localSheetId="1" hidden="1">0</definedName>
    <definedName name="solver_rhs2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</definedNames>
  <calcPr calcId="145621"/>
</workbook>
</file>

<file path=xl/calcChain.xml><?xml version="1.0" encoding="utf-8"?>
<calcChain xmlns="http://schemas.openxmlformats.org/spreadsheetml/2006/main">
  <c r="D9" i="13" l="1" a="1"/>
  <c r="D9" i="13"/>
  <c r="D10" i="13"/>
  <c r="D11" i="13"/>
  <c r="C9" i="13" a="1"/>
  <c r="C9" i="13"/>
  <c r="C10" i="13"/>
  <c r="C11" i="13"/>
  <c r="C3" i="13" a="1"/>
  <c r="C3" i="13"/>
  <c r="D3" i="13"/>
  <c r="E3" i="13"/>
  <c r="C4" i="13"/>
  <c r="D4" i="13"/>
  <c r="E4" i="13"/>
  <c r="C5" i="13"/>
  <c r="D5" i="13"/>
  <c r="E5" i="13"/>
  <c r="B2" i="12" a="1"/>
  <c r="B2" i="12"/>
  <c r="B3" i="12"/>
  <c r="B4" i="12"/>
  <c r="G16" i="16" a="1"/>
  <c r="I16" i="16" s="1"/>
  <c r="G13" i="16" a="1"/>
  <c r="I15" i="16" s="1"/>
  <c r="F7" i="16" a="1"/>
  <c r="F9" i="16" s="1"/>
  <c r="G6" i="16" a="1"/>
  <c r="I6" i="16" s="1"/>
  <c r="A4" i="16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G1" i="16" a="1"/>
  <c r="I1" i="16" s="1"/>
  <c r="F1" i="16"/>
  <c r="F1" i="15"/>
  <c r="I38" i="15" a="1"/>
  <c r="H38" i="15" a="1"/>
  <c r="G38" i="15" a="1"/>
  <c r="G21" i="15" a="1"/>
  <c r="G32" i="15" a="1"/>
  <c r="G16" i="15" a="1"/>
  <c r="I16" i="15" s="1"/>
  <c r="G13" i="15" a="1"/>
  <c r="I15" i="15" s="1"/>
  <c r="I23" i="15" s="1"/>
  <c r="I34" i="15" s="1"/>
  <c r="G7" i="15" a="1"/>
  <c r="I9" i="15" s="1"/>
  <c r="F7" i="15" a="1"/>
  <c r="F9" i="15" s="1"/>
  <c r="G6" i="15" a="1"/>
  <c r="I6" i="15" s="1"/>
  <c r="A4" i="15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I3" i="15"/>
  <c r="H3" i="15"/>
  <c r="G3" i="15"/>
  <c r="J3" i="15" s="1"/>
  <c r="I2" i="15"/>
  <c r="H2" i="15"/>
  <c r="G2" i="15"/>
  <c r="J2" i="15" s="1"/>
  <c r="G1" i="15" a="1"/>
  <c r="I1" i="15" s="1"/>
  <c r="G1" i="16" l="1"/>
  <c r="H1" i="16"/>
  <c r="G6" i="16"/>
  <c r="H6" i="16"/>
  <c r="F7" i="16"/>
  <c r="F8" i="16"/>
  <c r="G13" i="16"/>
  <c r="H13" i="16"/>
  <c r="I13" i="16"/>
  <c r="G14" i="16"/>
  <c r="H14" i="16"/>
  <c r="I14" i="16"/>
  <c r="G15" i="16"/>
  <c r="H15" i="16"/>
  <c r="G16" i="16"/>
  <c r="H16" i="16"/>
  <c r="G1" i="15"/>
  <c r="H1" i="15"/>
  <c r="I26" i="15"/>
  <c r="G6" i="15"/>
  <c r="H6" i="15"/>
  <c r="F7" i="15"/>
  <c r="F8" i="15"/>
  <c r="G7" i="15"/>
  <c r="H7" i="15"/>
  <c r="I7" i="15"/>
  <c r="G8" i="15"/>
  <c r="H8" i="15"/>
  <c r="I8" i="15"/>
  <c r="G9" i="15"/>
  <c r="H9" i="15"/>
  <c r="G13" i="15"/>
  <c r="H13" i="15"/>
  <c r="I13" i="15"/>
  <c r="I21" i="15" s="1"/>
  <c r="I32" i="15" s="1"/>
  <c r="G14" i="15"/>
  <c r="H14" i="15"/>
  <c r="I14" i="15"/>
  <c r="I22" i="15" s="1"/>
  <c r="I33" i="15" s="1"/>
  <c r="G15" i="15"/>
  <c r="H15" i="15"/>
  <c r="G16" i="15"/>
  <c r="H16" i="15"/>
  <c r="H26" i="15" s="1"/>
  <c r="G26" i="15" l="1"/>
  <c r="G27" i="15" s="1"/>
  <c r="H27" i="15" s="1"/>
  <c r="I27" i="15" s="1"/>
  <c r="H23" i="15"/>
  <c r="H34" i="15" s="1"/>
  <c r="G23" i="15"/>
  <c r="G34" i="15" s="1"/>
  <c r="G40" i="15" s="1"/>
  <c r="H40" i="15" s="1"/>
  <c r="I40" i="15" s="1"/>
  <c r="H22" i="15"/>
  <c r="H33" i="15" s="1"/>
  <c r="G22" i="15"/>
  <c r="G33" i="15" s="1"/>
  <c r="G39" i="15" s="1"/>
  <c r="H39" i="15" s="1"/>
  <c r="I39" i="15" s="1"/>
  <c r="H21" i="15"/>
  <c r="H32" i="15" s="1"/>
  <c r="G21" i="15"/>
  <c r="G32" i="15" s="1"/>
  <c r="G38" i="15" s="1"/>
  <c r="H38" i="15" s="1"/>
  <c r="I38" i="15" s="1"/>
  <c r="F38" i="16" a="1"/>
  <c r="F32" i="16" a="1"/>
  <c r="F21" i="16" a="1"/>
  <c r="L3" i="15" a="1"/>
  <c r="F38" i="15" a="1"/>
  <c r="F32" i="15" a="1"/>
  <c r="F21" i="15" a="1"/>
  <c r="B10" i="13"/>
  <c r="B11" i="13"/>
  <c r="B9" i="13"/>
  <c r="F23" i="16" l="1"/>
  <c r="F22" i="16"/>
  <c r="F21" i="16"/>
  <c r="F34" i="16"/>
  <c r="F33" i="16"/>
  <c r="F32" i="16"/>
  <c r="F40" i="16"/>
  <c r="F39" i="16"/>
  <c r="F38" i="16"/>
  <c r="F23" i="15"/>
  <c r="F22" i="15"/>
  <c r="F21" i="15"/>
  <c r="F34" i="15"/>
  <c r="F33" i="15"/>
  <c r="F32" i="15"/>
  <c r="F40" i="15"/>
  <c r="F39" i="15"/>
  <c r="F38" i="15"/>
  <c r="N135" i="15"/>
  <c r="M135" i="15"/>
  <c r="L135" i="15"/>
  <c r="N134" i="15"/>
  <c r="M134" i="15"/>
  <c r="L134" i="15"/>
  <c r="N133" i="15"/>
  <c r="M133" i="15"/>
  <c r="L133" i="15"/>
  <c r="N132" i="15"/>
  <c r="M132" i="15"/>
  <c r="L132" i="15"/>
  <c r="N131" i="15"/>
  <c r="M131" i="15"/>
  <c r="L131" i="15"/>
  <c r="N130" i="15"/>
  <c r="M130" i="15"/>
  <c r="L130" i="15"/>
  <c r="N129" i="15"/>
  <c r="M129" i="15"/>
  <c r="L129" i="15"/>
  <c r="N128" i="15"/>
  <c r="M128" i="15"/>
  <c r="L128" i="15"/>
  <c r="N127" i="15"/>
  <c r="M127" i="15"/>
  <c r="L127" i="15"/>
  <c r="N126" i="15"/>
  <c r="M126" i="15"/>
  <c r="L126" i="15"/>
  <c r="N125" i="15"/>
  <c r="M125" i="15"/>
  <c r="L125" i="15"/>
  <c r="N124" i="15"/>
  <c r="M124" i="15"/>
  <c r="L124" i="15"/>
  <c r="N123" i="15"/>
  <c r="M123" i="15"/>
  <c r="L123" i="15"/>
  <c r="N122" i="15"/>
  <c r="M122" i="15"/>
  <c r="L122" i="15"/>
  <c r="N121" i="15"/>
  <c r="M121" i="15"/>
  <c r="L121" i="15"/>
  <c r="N120" i="15"/>
  <c r="M120" i="15"/>
  <c r="L120" i="15"/>
  <c r="N119" i="15"/>
  <c r="M119" i="15"/>
  <c r="L119" i="15"/>
  <c r="N118" i="15"/>
  <c r="M118" i="15"/>
  <c r="L118" i="15"/>
  <c r="N117" i="15"/>
  <c r="M117" i="15"/>
  <c r="L117" i="15"/>
  <c r="N116" i="15"/>
  <c r="M116" i="15"/>
  <c r="L116" i="15"/>
  <c r="N115" i="15"/>
  <c r="M115" i="15"/>
  <c r="L115" i="15"/>
  <c r="N114" i="15"/>
  <c r="M114" i="15"/>
  <c r="L114" i="15"/>
  <c r="N113" i="15"/>
  <c r="M113" i="15"/>
  <c r="L113" i="15"/>
  <c r="N112" i="15"/>
  <c r="M112" i="15"/>
  <c r="L112" i="15"/>
  <c r="N111" i="15"/>
  <c r="M111" i="15"/>
  <c r="L111" i="15"/>
  <c r="N110" i="15"/>
  <c r="M110" i="15"/>
  <c r="L110" i="15"/>
  <c r="N109" i="15"/>
  <c r="M109" i="15"/>
  <c r="L109" i="15"/>
  <c r="N108" i="15"/>
  <c r="M108" i="15"/>
  <c r="L108" i="15"/>
  <c r="N107" i="15"/>
  <c r="M107" i="15"/>
  <c r="L107" i="15"/>
  <c r="N106" i="15"/>
  <c r="M106" i="15"/>
  <c r="L106" i="15"/>
  <c r="N105" i="15"/>
  <c r="M105" i="15"/>
  <c r="L105" i="15"/>
  <c r="N104" i="15"/>
  <c r="M104" i="15"/>
  <c r="L104" i="15"/>
  <c r="N103" i="15"/>
  <c r="M103" i="15"/>
  <c r="L103" i="15"/>
  <c r="N102" i="15"/>
  <c r="M102" i="15"/>
  <c r="L102" i="15"/>
  <c r="N101" i="15"/>
  <c r="M101" i="15"/>
  <c r="L101" i="15"/>
  <c r="N100" i="15"/>
  <c r="M100" i="15"/>
  <c r="L100" i="15"/>
  <c r="N99" i="15"/>
  <c r="M99" i="15"/>
  <c r="L99" i="15"/>
  <c r="N98" i="15"/>
  <c r="M98" i="15"/>
  <c r="L98" i="15"/>
  <c r="N97" i="15"/>
  <c r="M97" i="15"/>
  <c r="L97" i="15"/>
  <c r="N96" i="15"/>
  <c r="M96" i="15"/>
  <c r="L96" i="15"/>
  <c r="N95" i="15"/>
  <c r="M95" i="15"/>
  <c r="L95" i="15"/>
  <c r="N94" i="15"/>
  <c r="M94" i="15"/>
  <c r="L94" i="15"/>
  <c r="N93" i="15"/>
  <c r="M93" i="15"/>
  <c r="L93" i="15"/>
  <c r="N92" i="15"/>
  <c r="M92" i="15"/>
  <c r="L92" i="15"/>
  <c r="N91" i="15"/>
  <c r="M91" i="15"/>
  <c r="L91" i="15"/>
  <c r="N90" i="15"/>
  <c r="M90" i="15"/>
  <c r="L90" i="15"/>
  <c r="N89" i="15"/>
  <c r="M89" i="15"/>
  <c r="L89" i="15"/>
  <c r="N88" i="15"/>
  <c r="M88" i="15"/>
  <c r="L88" i="15"/>
  <c r="N87" i="15"/>
  <c r="M87" i="15"/>
  <c r="L87" i="15"/>
  <c r="N86" i="15"/>
  <c r="M86" i="15"/>
  <c r="L86" i="15"/>
  <c r="N85" i="15"/>
  <c r="M85" i="15"/>
  <c r="L85" i="15"/>
  <c r="N84" i="15"/>
  <c r="M84" i="15"/>
  <c r="L84" i="15"/>
  <c r="N83" i="15"/>
  <c r="M83" i="15"/>
  <c r="L83" i="15"/>
  <c r="N82" i="15"/>
  <c r="M82" i="15"/>
  <c r="L82" i="15"/>
  <c r="N81" i="15"/>
  <c r="M81" i="15"/>
  <c r="L81" i="15"/>
  <c r="N80" i="15"/>
  <c r="M80" i="15"/>
  <c r="L80" i="15"/>
  <c r="N79" i="15"/>
  <c r="M79" i="15"/>
  <c r="L79" i="15"/>
  <c r="N78" i="15"/>
  <c r="M78" i="15"/>
  <c r="L78" i="15"/>
  <c r="N77" i="15"/>
  <c r="M77" i="15"/>
  <c r="L77" i="15"/>
  <c r="N76" i="15"/>
  <c r="M76" i="15"/>
  <c r="L76" i="15"/>
  <c r="N75" i="15"/>
  <c r="M75" i="15"/>
  <c r="L75" i="15"/>
  <c r="N74" i="15"/>
  <c r="M74" i="15"/>
  <c r="L74" i="15"/>
  <c r="N73" i="15"/>
  <c r="M73" i="15"/>
  <c r="L73" i="15"/>
  <c r="N72" i="15"/>
  <c r="M72" i="15"/>
  <c r="L72" i="15"/>
  <c r="N71" i="15"/>
  <c r="M71" i="15"/>
  <c r="L71" i="15"/>
  <c r="N70" i="15"/>
  <c r="M70" i="15"/>
  <c r="L70" i="15"/>
  <c r="N69" i="15"/>
  <c r="M69" i="15"/>
  <c r="L69" i="15"/>
  <c r="N68" i="15"/>
  <c r="M68" i="15"/>
  <c r="L68" i="15"/>
  <c r="N67" i="15"/>
  <c r="M67" i="15"/>
  <c r="L67" i="15"/>
  <c r="N66" i="15"/>
  <c r="M66" i="15"/>
  <c r="L66" i="15"/>
  <c r="N65" i="15"/>
  <c r="M65" i="15"/>
  <c r="L65" i="15"/>
  <c r="N64" i="15"/>
  <c r="M64" i="15"/>
  <c r="L64" i="15"/>
  <c r="N63" i="15"/>
  <c r="M63" i="15"/>
  <c r="L63" i="15"/>
  <c r="N62" i="15"/>
  <c r="M62" i="15"/>
  <c r="L62" i="15"/>
  <c r="N61" i="15"/>
  <c r="M61" i="15"/>
  <c r="L61" i="15"/>
  <c r="N60" i="15"/>
  <c r="M60" i="15"/>
  <c r="L60" i="15"/>
  <c r="N59" i="15"/>
  <c r="M59" i="15"/>
  <c r="L59" i="15"/>
  <c r="N58" i="15"/>
  <c r="M58" i="15"/>
  <c r="L58" i="15"/>
  <c r="N57" i="15"/>
  <c r="M57" i="15"/>
  <c r="L57" i="15"/>
  <c r="N56" i="15"/>
  <c r="M56" i="15"/>
  <c r="L56" i="15"/>
  <c r="N55" i="15"/>
  <c r="M55" i="15"/>
  <c r="L55" i="15"/>
  <c r="N54" i="15"/>
  <c r="M54" i="15"/>
  <c r="L54" i="15"/>
  <c r="N53" i="15"/>
  <c r="M53" i="15"/>
  <c r="L53" i="15"/>
  <c r="N52" i="15"/>
  <c r="M52" i="15"/>
  <c r="L52" i="15"/>
  <c r="N51" i="15"/>
  <c r="M51" i="15"/>
  <c r="L51" i="15"/>
  <c r="N50" i="15"/>
  <c r="M50" i="15"/>
  <c r="L50" i="15"/>
  <c r="N49" i="15"/>
  <c r="M49" i="15"/>
  <c r="L49" i="15"/>
  <c r="N48" i="15"/>
  <c r="M48" i="15"/>
  <c r="L48" i="15"/>
  <c r="N47" i="15"/>
  <c r="M47" i="15"/>
  <c r="L47" i="15"/>
  <c r="N46" i="15"/>
  <c r="M46" i="15"/>
  <c r="L46" i="15"/>
  <c r="N45" i="15"/>
  <c r="M45" i="15"/>
  <c r="L45" i="15"/>
  <c r="N44" i="15"/>
  <c r="M44" i="15"/>
  <c r="L44" i="15"/>
  <c r="N43" i="15"/>
  <c r="M43" i="15"/>
  <c r="L43" i="15"/>
  <c r="N42" i="15"/>
  <c r="M42" i="15"/>
  <c r="L42" i="15"/>
  <c r="N41" i="15"/>
  <c r="M41" i="15"/>
  <c r="L41" i="15"/>
  <c r="N40" i="15"/>
  <c r="M40" i="15"/>
  <c r="L40" i="15"/>
  <c r="N39" i="15"/>
  <c r="M39" i="15"/>
  <c r="L39" i="15"/>
  <c r="N38" i="15"/>
  <c r="M38" i="15"/>
  <c r="L38" i="15"/>
  <c r="N37" i="15"/>
  <c r="M37" i="15"/>
  <c r="L37" i="15"/>
  <c r="N36" i="15"/>
  <c r="M36" i="15"/>
  <c r="L36" i="15"/>
  <c r="N35" i="15"/>
  <c r="M35" i="15"/>
  <c r="L35" i="15"/>
  <c r="N34" i="15"/>
  <c r="M34" i="15"/>
  <c r="L34" i="15"/>
  <c r="N33" i="15"/>
  <c r="M33" i="15"/>
  <c r="L33" i="15"/>
  <c r="N32" i="15"/>
  <c r="M32" i="15"/>
  <c r="L32" i="15"/>
  <c r="N31" i="15"/>
  <c r="M31" i="15"/>
  <c r="L31" i="15"/>
  <c r="N30" i="15"/>
  <c r="M30" i="15"/>
  <c r="L30" i="15"/>
  <c r="N29" i="15"/>
  <c r="M29" i="15"/>
  <c r="L29" i="15"/>
  <c r="N28" i="15"/>
  <c r="M28" i="15"/>
  <c r="L28" i="15"/>
  <c r="N27" i="15"/>
  <c r="M27" i="15"/>
  <c r="L27" i="15"/>
  <c r="N26" i="15"/>
  <c r="M26" i="15"/>
  <c r="L26" i="15"/>
  <c r="N25" i="15"/>
  <c r="M25" i="15"/>
  <c r="L25" i="15"/>
  <c r="N24" i="15"/>
  <c r="M24" i="15"/>
  <c r="L24" i="15"/>
  <c r="N23" i="15"/>
  <c r="M23" i="15"/>
  <c r="L23" i="15"/>
  <c r="N22" i="15"/>
  <c r="M22" i="15"/>
  <c r="L22" i="15"/>
  <c r="N21" i="15"/>
  <c r="M21" i="15"/>
  <c r="L21" i="15"/>
  <c r="N20" i="15"/>
  <c r="M20" i="15"/>
  <c r="L20" i="15"/>
  <c r="N19" i="15"/>
  <c r="M19" i="15"/>
  <c r="L19" i="15"/>
  <c r="N18" i="15"/>
  <c r="M18" i="15"/>
  <c r="L18" i="15"/>
  <c r="N17" i="15"/>
  <c r="M17" i="15"/>
  <c r="L17" i="15"/>
  <c r="N16" i="15"/>
  <c r="M16" i="15"/>
  <c r="L16" i="15"/>
  <c r="N15" i="15"/>
  <c r="M15" i="15"/>
  <c r="L15" i="15"/>
  <c r="N14" i="15"/>
  <c r="M14" i="15"/>
  <c r="L14" i="15"/>
  <c r="N13" i="15"/>
  <c r="M13" i="15"/>
  <c r="L13" i="15"/>
  <c r="N12" i="15"/>
  <c r="M12" i="15"/>
  <c r="L12" i="15"/>
  <c r="N11" i="15"/>
  <c r="M11" i="15"/>
  <c r="L11" i="15"/>
  <c r="N10" i="15"/>
  <c r="M10" i="15"/>
  <c r="L10" i="15"/>
  <c r="N9" i="15"/>
  <c r="M9" i="15"/>
  <c r="L9" i="15"/>
  <c r="N8" i="15"/>
  <c r="M8" i="15"/>
  <c r="L8" i="15"/>
  <c r="N7" i="15"/>
  <c r="M7" i="15"/>
  <c r="L7" i="15"/>
  <c r="N6" i="15"/>
  <c r="M6" i="15"/>
  <c r="L6" i="15"/>
  <c r="N5" i="15"/>
  <c r="M5" i="15"/>
  <c r="L5" i="15"/>
  <c r="N4" i="15"/>
  <c r="M4" i="15"/>
  <c r="L4" i="15"/>
  <c r="N3" i="15"/>
  <c r="M3" i="15"/>
  <c r="L3" i="15"/>
  <c r="P1" i="15" s="1"/>
  <c r="P1" i="16" l="1"/>
  <c r="G25" i="15"/>
  <c r="G24" i="15"/>
  <c r="Q16" i="15"/>
  <c r="Q15" i="15"/>
  <c r="Q14" i="15"/>
  <c r="Q7" i="15" a="1"/>
  <c r="Q3" i="15"/>
  <c r="Q2" i="15"/>
  <c r="H25" i="15"/>
  <c r="H24" i="15"/>
  <c r="R16" i="15"/>
  <c r="R15" i="15"/>
  <c r="R14" i="15"/>
  <c r="R3" i="15"/>
  <c r="R2" i="15"/>
  <c r="I25" i="15"/>
  <c r="I24" i="15"/>
  <c r="S16" i="15"/>
  <c r="S15" i="15"/>
  <c r="S14" i="15"/>
  <c r="S3" i="15"/>
  <c r="S2" i="15"/>
  <c r="T2" i="15" l="1"/>
  <c r="T3" i="15"/>
  <c r="S9" i="15"/>
  <c r="R9" i="15"/>
  <c r="Q9" i="15"/>
  <c r="S8" i="15"/>
  <c r="R8" i="15"/>
  <c r="Q8" i="15"/>
  <c r="S7" i="15"/>
  <c r="R7" i="15"/>
  <c r="Q7" i="15"/>
</calcChain>
</file>

<file path=xl/sharedStrings.xml><?xml version="1.0" encoding="utf-8"?>
<sst xmlns="http://schemas.openxmlformats.org/spreadsheetml/2006/main" count="131" uniqueCount="41">
  <si>
    <t>X1</t>
  </si>
  <si>
    <t>X2</t>
  </si>
  <si>
    <t>X3</t>
  </si>
  <si>
    <t>Correlation Matrix</t>
  </si>
  <si>
    <t>Var</t>
  </si>
  <si>
    <t>Mean</t>
  </si>
  <si>
    <t>Z1</t>
  </si>
  <si>
    <t>Z2</t>
  </si>
  <si>
    <t>Principal Component Loadings</t>
  </si>
  <si>
    <t>Z3</t>
  </si>
  <si>
    <t>u1</t>
  </si>
  <si>
    <t>u2</t>
  </si>
  <si>
    <t>u3</t>
  </si>
  <si>
    <t>% Explanation</t>
  </si>
  <si>
    <t>Cum% Explan.</t>
  </si>
  <si>
    <t>Percent Explanation of Variance in individual variables by PC's</t>
  </si>
  <si>
    <t>Cumulative Percent Explanation of Variance in individual variables</t>
  </si>
  <si>
    <t>(Correlation between PC's and Original Variables)</t>
  </si>
  <si>
    <t>Eigenvalues</t>
  </si>
  <si>
    <t>Principal Component Coefficients (or Eigenvectors)</t>
  </si>
  <si>
    <t>Principal Component Scores</t>
  </si>
  <si>
    <t>Original Variables</t>
  </si>
  <si>
    <r>
      <t>Z</t>
    </r>
    <r>
      <rPr>
        <b/>
        <vertAlign val="subscript"/>
        <sz val="10"/>
        <rFont val="Arial"/>
        <family val="2"/>
      </rPr>
      <t>1</t>
    </r>
  </si>
  <si>
    <r>
      <t>Z</t>
    </r>
    <r>
      <rPr>
        <b/>
        <vertAlign val="subscript"/>
        <sz val="10"/>
        <rFont val="Arial"/>
        <family val="2"/>
      </rPr>
      <t>2</t>
    </r>
  </si>
  <si>
    <r>
      <t>Z</t>
    </r>
    <r>
      <rPr>
        <b/>
        <vertAlign val="subscript"/>
        <sz val="10"/>
        <rFont val="Arial"/>
        <family val="2"/>
      </rPr>
      <t>3</t>
    </r>
  </si>
  <si>
    <t>PPG</t>
  </si>
  <si>
    <t>EXXON</t>
  </si>
  <si>
    <t>DOW</t>
  </si>
  <si>
    <t>SUM</t>
  </si>
  <si>
    <t>Variance</t>
  </si>
  <si>
    <t>CONCLUSION</t>
  </si>
  <si>
    <t>RETAIN ONE TO TWO COMPONENTS</t>
  </si>
  <si>
    <t>Loadings</t>
  </si>
  <si>
    <t>X-Axis</t>
  </si>
  <si>
    <t>Y-Axis</t>
  </si>
  <si>
    <t>ID</t>
  </si>
  <si>
    <t>EIGENVALUES</t>
  </si>
  <si>
    <t>U1</t>
  </si>
  <si>
    <t>U2</t>
  </si>
  <si>
    <t>U3</t>
  </si>
  <si>
    <t>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</si>
</sst>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%"/>
  </numFmts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0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indexed="12"/>
      <name val="Arial"/>
      <family val="2"/>
    </font>
    <font>
      <b/>
      <i/>
      <sz val="11"/>
      <color theme="3" tint="0.399975585192419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113">
    <xf numFmtId="0" fontId="0" fillId="0" borderId="0" xfId="0"/>
    <xf numFmtId="0" fontId="3" fillId="0" borderId="1" xfId="0" applyFont="1" applyFill="1" applyBorder="1" applyAlignment="1">
      <alignment horizontal="center"/>
    </xf>
    <xf numFmtId="164" fontId="0" fillId="0" borderId="0" xfId="0" applyNumberFormat="1"/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NumberFormat="1" applyFont="1" applyAlignment="1" applyProtection="1">
      <alignment horizontal="left"/>
      <protection locked="0"/>
    </xf>
    <xf numFmtId="0" fontId="5" fillId="0" borderId="0" xfId="0" applyNumberFormat="1" applyFont="1" applyAlignment="1" applyProtection="1">
      <alignment horizontal="center"/>
      <protection locked="0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/>
    </xf>
    <xf numFmtId="164" fontId="9" fillId="0" borderId="6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164" fontId="9" fillId="0" borderId="3" xfId="0" applyNumberFormat="1" applyFont="1" applyBorder="1" applyAlignment="1">
      <alignment horizontal="center"/>
    </xf>
    <xf numFmtId="0" fontId="3" fillId="0" borderId="12" xfId="0" applyNumberFormat="1" applyFont="1" applyBorder="1" applyAlignment="1" applyProtection="1">
      <alignment horizontal="center"/>
      <protection locked="0"/>
    </xf>
    <xf numFmtId="0" fontId="3" fillId="0" borderId="7" xfId="0" applyNumberFormat="1" applyFont="1" applyBorder="1" applyAlignment="1" applyProtection="1">
      <alignment horizontal="center"/>
      <protection locked="0"/>
    </xf>
    <xf numFmtId="0" fontId="3" fillId="0" borderId="8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10" fillId="0" borderId="0" xfId="0" applyFont="1" applyAlignment="1">
      <alignment horizontal="center"/>
    </xf>
    <xf numFmtId="0" fontId="10" fillId="0" borderId="13" xfId="0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0" fontId="10" fillId="0" borderId="0" xfId="1"/>
    <xf numFmtId="0" fontId="10" fillId="0" borderId="6" xfId="1" applyBorder="1"/>
    <xf numFmtId="0" fontId="10" fillId="0" borderId="3" xfId="1" applyBorder="1"/>
    <xf numFmtId="0" fontId="10" fillId="0" borderId="4" xfId="1" applyBorder="1"/>
    <xf numFmtId="0" fontId="10" fillId="0" borderId="5" xfId="1" applyBorder="1"/>
    <xf numFmtId="0" fontId="12" fillId="0" borderId="0" xfId="1" applyFont="1"/>
    <xf numFmtId="0" fontId="10" fillId="0" borderId="9" xfId="1" applyBorder="1"/>
    <xf numFmtId="0" fontId="4" fillId="0" borderId="0" xfId="1" applyFont="1" applyAlignment="1">
      <alignment horizontal="center"/>
    </xf>
    <xf numFmtId="0" fontId="10" fillId="0" borderId="12" xfId="1" applyBorder="1" applyAlignment="1">
      <alignment horizontal="center"/>
    </xf>
    <xf numFmtId="0" fontId="10" fillId="0" borderId="7" xfId="1" applyBorder="1" applyAlignment="1">
      <alignment horizontal="center"/>
    </xf>
    <xf numFmtId="0" fontId="10" fillId="0" borderId="8" xfId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10" fillId="0" borderId="3" xfId="1" applyBorder="1" applyAlignment="1">
      <alignment horizontal="center"/>
    </xf>
    <xf numFmtId="0" fontId="13" fillId="0" borderId="3" xfId="1" applyFont="1" applyBorder="1"/>
    <xf numFmtId="164" fontId="10" fillId="0" borderId="9" xfId="1" applyNumberFormat="1" applyBorder="1" applyAlignment="1">
      <alignment horizontal="center"/>
    </xf>
    <xf numFmtId="164" fontId="10" fillId="0" borderId="10" xfId="1" applyNumberFormat="1" applyBorder="1" applyAlignment="1">
      <alignment horizontal="center"/>
    </xf>
    <xf numFmtId="164" fontId="10" fillId="0" borderId="14" xfId="1" applyNumberFormat="1" applyBorder="1" applyAlignment="1">
      <alignment horizontal="center"/>
    </xf>
    <xf numFmtId="164" fontId="10" fillId="0" borderId="15" xfId="1" applyNumberFormat="1" applyBorder="1" applyAlignment="1">
      <alignment horizontal="center"/>
    </xf>
    <xf numFmtId="164" fontId="10" fillId="0" borderId="0" xfId="1" applyNumberFormat="1" applyBorder="1" applyAlignment="1">
      <alignment horizontal="center"/>
    </xf>
    <xf numFmtId="164" fontId="10" fillId="0" borderId="16" xfId="1" applyNumberFormat="1" applyBorder="1" applyAlignment="1">
      <alignment horizontal="center"/>
    </xf>
    <xf numFmtId="164" fontId="10" fillId="0" borderId="11" xfId="1" applyNumberFormat="1" applyBorder="1" applyAlignment="1">
      <alignment horizontal="center"/>
    </xf>
    <xf numFmtId="164" fontId="10" fillId="0" borderId="2" xfId="1" applyNumberFormat="1" applyBorder="1" applyAlignment="1">
      <alignment horizontal="center"/>
    </xf>
    <xf numFmtId="164" fontId="10" fillId="0" borderId="17" xfId="1" applyNumberFormat="1" applyBorder="1" applyAlignment="1">
      <alignment horizontal="center"/>
    </xf>
    <xf numFmtId="164" fontId="10" fillId="0" borderId="0" xfId="1" applyNumberFormat="1"/>
    <xf numFmtId="0" fontId="10" fillId="0" borderId="4" xfId="1" applyBorder="1" applyAlignment="1">
      <alignment horizontal="center"/>
    </xf>
    <xf numFmtId="0" fontId="13" fillId="0" borderId="4" xfId="1" applyFont="1" applyBorder="1"/>
    <xf numFmtId="0" fontId="10" fillId="0" borderId="5" xfId="1" applyBorder="1" applyAlignment="1">
      <alignment horizontal="center"/>
    </xf>
    <xf numFmtId="0" fontId="13" fillId="0" borderId="5" xfId="1" applyFont="1" applyBorder="1"/>
    <xf numFmtId="0" fontId="10" fillId="0" borderId="0" xfId="1" applyAlignment="1">
      <alignment horizontal="center"/>
    </xf>
    <xf numFmtId="0" fontId="2" fillId="0" borderId="0" xfId="0" applyFont="1"/>
    <xf numFmtId="0" fontId="9" fillId="0" borderId="0" xfId="0" applyFont="1" applyFill="1" applyBorder="1" applyAlignment="1">
      <alignment horizontal="center"/>
    </xf>
    <xf numFmtId="0" fontId="9" fillId="0" borderId="0" xfId="0" applyFont="1"/>
    <xf numFmtId="0" fontId="10" fillId="0" borderId="0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20" xfId="0" applyNumberFormat="1" applyFont="1" applyBorder="1" applyAlignment="1" applyProtection="1">
      <alignment horizontal="center"/>
      <protection locked="0"/>
    </xf>
    <xf numFmtId="0" fontId="5" fillId="0" borderId="21" xfId="0" applyNumberFormat="1" applyFont="1" applyBorder="1" applyAlignment="1" applyProtection="1">
      <alignment horizontal="center"/>
      <protection locked="0"/>
    </xf>
    <xf numFmtId="0" fontId="5" fillId="0" borderId="18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5" fillId="0" borderId="19" xfId="0" applyNumberFormat="1" applyFont="1" applyBorder="1" applyAlignment="1" applyProtection="1">
      <alignment horizontal="center"/>
      <protection locked="0"/>
    </xf>
    <xf numFmtId="164" fontId="0" fillId="0" borderId="24" xfId="0" applyNumberFormat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0" fillId="0" borderId="25" xfId="0" applyNumberFormat="1" applyBorder="1" applyAlignment="1" applyProtection="1">
      <alignment horizontal="center"/>
      <protection locked="0"/>
    </xf>
    <xf numFmtId="164" fontId="0" fillId="0" borderId="26" xfId="0" applyNumberFormat="1" applyBorder="1" applyAlignment="1" applyProtection="1">
      <alignment horizontal="center"/>
      <protection locked="0"/>
    </xf>
    <xf numFmtId="164" fontId="0" fillId="0" borderId="13" xfId="0" applyNumberFormat="1" applyBorder="1" applyAlignment="1" applyProtection="1">
      <alignment horizontal="center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3" fillId="0" borderId="29" xfId="0" applyFont="1" applyFill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0" fillId="0" borderId="32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7" fillId="0" borderId="24" xfId="0" applyNumberFormat="1" applyFont="1" applyBorder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164" fontId="7" fillId="0" borderId="25" xfId="0" applyNumberFormat="1" applyFon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" fillId="0" borderId="0" xfId="0" applyFont="1"/>
    <xf numFmtId="0" fontId="4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horizontal="center"/>
    </xf>
  </cellXfs>
  <cellStyles count="2">
    <cellStyle name="Normal" xfId="0" builtinId="0"/>
    <cellStyle name="Normal 2" xfId="1"/>
  </cellStyles>
  <dxfs count="5">
    <dxf>
      <fill>
        <patternFill>
          <bgColor indexed="47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r>
              <a:rPr lang="en-US" sz="1400">
                <a:solidFill>
                  <a:srgbClr val="FF0000"/>
                </a:solidFill>
              </a:rPr>
              <a:t>Scree Plot</a:t>
            </a:r>
          </a:p>
        </c:rich>
      </c:tx>
      <c:layout>
        <c:manualLayout>
          <c:xMode val="edge"/>
          <c:yMode val="edge"/>
          <c:x val="0.43201846479716349"/>
          <c:y val="3.54837970690072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96520346166449"/>
          <c:y val="0.14177910710190353"/>
          <c:w val="0.82237018222780944"/>
          <c:h val="0.6549961139566291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'Scree Plot'!$A$2:$A$4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'Scree Plot'!$B$2:$B$4</c:f>
              <c:numCache>
                <c:formatCode>General</c:formatCode>
                <c:ptCount val="3"/>
                <c:pt idx="0">
                  <c:v>1.9068015436940597</c:v>
                </c:pt>
                <c:pt idx="1">
                  <c:v>0.8173337313771375</c:v>
                </c:pt>
                <c:pt idx="2">
                  <c:v>0.27586472492880398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'Scree Plot'!$D$24:$D$25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'Scree Plot'!$E$24:$E$25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22496"/>
        <c:axId val="148524416"/>
      </c:scatterChart>
      <c:valAx>
        <c:axId val="148522496"/>
        <c:scaling>
          <c:orientation val="minMax"/>
          <c:max val="4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1" u="none" strike="noStrike" baseline="0">
                    <a:solidFill>
                      <a:schemeClr val="accent1">
                        <a:lumMod val="7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 i="1">
                    <a:solidFill>
                      <a:schemeClr val="accent1">
                        <a:lumMod val="75000"/>
                      </a:schemeClr>
                    </a:solidFill>
                  </a:rPr>
                  <a:t>Component Number</a:t>
                </a:r>
              </a:p>
            </c:rich>
          </c:tx>
          <c:layout>
            <c:manualLayout>
              <c:xMode val="edge"/>
              <c:yMode val="edge"/>
              <c:x val="0.41886057006032135"/>
              <c:y val="0.883872340147007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524416"/>
        <c:crosses val="autoZero"/>
        <c:crossBetween val="midCat"/>
        <c:majorUnit val="1"/>
      </c:valAx>
      <c:valAx>
        <c:axId val="148524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1" u="none" strike="noStrike" baseline="0">
                    <a:solidFill>
                      <a:schemeClr val="accent1">
                        <a:lumMod val="7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 i="1">
                    <a:solidFill>
                      <a:schemeClr val="accent1">
                        <a:lumMod val="75000"/>
                      </a:schemeClr>
                    </a:solidFill>
                  </a:rPr>
                  <a:t>Eigenvalue</a:t>
                </a:r>
              </a:p>
            </c:rich>
          </c:tx>
          <c:layout>
            <c:manualLayout>
              <c:xMode val="edge"/>
              <c:yMode val="edge"/>
              <c:x val="2.9239766081871343E-2"/>
              <c:y val="0.296461470835563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5224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70C0"/>
                </a:solidFill>
              </a:defRPr>
            </a:pPr>
            <a:r>
              <a:rPr lang="en-US" sz="1200">
                <a:solidFill>
                  <a:srgbClr val="0070C0"/>
                </a:solidFill>
              </a:rPr>
              <a:t>Loading PLot</a:t>
            </a:r>
            <a:r>
              <a:rPr lang="en-US" sz="1200" baseline="0">
                <a:solidFill>
                  <a:srgbClr val="0070C0"/>
                </a:solidFill>
              </a:rPr>
              <a:t> of First Two Principle Components</a:t>
            </a:r>
            <a:endParaRPr lang="en-US" sz="1200">
              <a:solidFill>
                <a:srgbClr val="0070C0"/>
              </a:solidFill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5002288823016"/>
          <c:y val="0.11599655511811023"/>
          <c:w val="0.80921225307362898"/>
          <c:h val="0.7600142169728784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chemeClr val="tx1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b="1" i="1">
                        <a:solidFill>
                          <a:schemeClr val="accent1">
                            <a:lumMod val="75000"/>
                          </a:schemeClr>
                        </a:solidFill>
                      </a:rPr>
                      <a:t>PPG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b="1" i="1">
                        <a:solidFill>
                          <a:schemeClr val="accent1">
                            <a:lumMod val="75000"/>
                          </a:schemeClr>
                        </a:solidFill>
                      </a:rPr>
                      <a:t>EXXON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b="1" i="1">
                        <a:solidFill>
                          <a:schemeClr val="accent1">
                            <a:lumMod val="75000"/>
                          </a:schemeClr>
                        </a:solidFill>
                      </a:rPr>
                      <a:t>DOW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r>
                      <a:rPr lang="en-US" b="1" i="1">
                        <a:solidFill>
                          <a:schemeClr val="accent1">
                            <a:lumMod val="75000"/>
                          </a:schemeClr>
                        </a:solidFill>
                      </a:rPr>
                      <a:t>EXXON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r>
                      <a:rPr lang="en-US" b="1" i="1">
                        <a:solidFill>
                          <a:schemeClr val="accent1">
                            <a:lumMod val="75000"/>
                          </a:schemeClr>
                        </a:solidFill>
                      </a:rPr>
                      <a:t>BP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 i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'Loading Plot'!$C$9:$C$13</c:f>
              <c:numCache>
                <c:formatCode>0.000</c:formatCode>
                <c:ptCount val="5"/>
                <c:pt idx="0">
                  <c:v>0.90621165836167483</c:v>
                </c:pt>
                <c:pt idx="1">
                  <c:v>0.57972775928314835</c:v>
                </c:pt>
                <c:pt idx="2">
                  <c:v>0.86573535162888149</c:v>
                </c:pt>
              </c:numCache>
            </c:numRef>
          </c:xVal>
          <c:yVal>
            <c:numRef>
              <c:f>'Loading Plot'!$D$9:$D$13</c:f>
              <c:numCache>
                <c:formatCode>0.000</c:formatCode>
                <c:ptCount val="5"/>
                <c:pt idx="0">
                  <c:v>-0.18108878985832927</c:v>
                </c:pt>
                <c:pt idx="1">
                  <c:v>0.81187920300698979</c:v>
                </c:pt>
                <c:pt idx="2">
                  <c:v>-0.35410837506266113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79456"/>
        <c:axId val="148581376"/>
      </c:scatterChart>
      <c:valAx>
        <c:axId val="148579456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1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 b="0" i="1">
                    <a:solidFill>
                      <a:srgbClr val="FF0000"/>
                    </a:solidFill>
                  </a:rPr>
                  <a:t>First Component </a:t>
                </a:r>
              </a:p>
            </c:rich>
          </c:tx>
          <c:layout>
            <c:manualLayout>
              <c:xMode val="edge"/>
              <c:yMode val="edge"/>
              <c:x val="0.42291753004558635"/>
              <c:y val="0.9029650590551181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581376"/>
        <c:crosses val="autoZero"/>
        <c:crossBetween val="midCat"/>
        <c:majorUnit val="0.25"/>
      </c:valAx>
      <c:valAx>
        <c:axId val="14858137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1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 b="0" i="1">
                    <a:solidFill>
                      <a:srgbClr val="FF0000"/>
                    </a:solidFill>
                  </a:rPr>
                  <a:t>Second Component</a:t>
                </a:r>
              </a:p>
            </c:rich>
          </c:tx>
          <c:layout>
            <c:manualLayout>
              <c:xMode val="edge"/>
              <c:yMode val="edge"/>
              <c:x val="3.3333333333333333E-2"/>
              <c:y val="0.3207545931758530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579456"/>
        <c:crosses val="autoZero"/>
        <c:crossBetween val="midCat"/>
        <c:majorUnit val="0.2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2222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144780</xdr:colOff>
      <xdr:row>19</xdr:row>
      <xdr:rowOff>144780</xdr:rowOff>
    </xdr:from>
    <xdr:to>
      <xdr:col>10</xdr:col>
      <xdr:colOff>289560</xdr:colOff>
      <xdr:row>22</xdr:row>
      <xdr:rowOff>157223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1800" y="3535680"/>
          <a:ext cx="1043940" cy="51536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9</xdr:col>
      <xdr:colOff>99061</xdr:colOff>
      <xdr:row>31</xdr:row>
      <xdr:rowOff>15240</xdr:rowOff>
    </xdr:from>
    <xdr:to>
      <xdr:col>10</xdr:col>
      <xdr:colOff>778445</xdr:colOff>
      <xdr:row>33</xdr:row>
      <xdr:rowOff>167640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36081" y="5440680"/>
          <a:ext cx="1578544" cy="48768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144780</xdr:colOff>
      <xdr:row>19</xdr:row>
      <xdr:rowOff>144780</xdr:rowOff>
    </xdr:from>
    <xdr:to>
      <xdr:col>10</xdr:col>
      <xdr:colOff>289560</xdr:colOff>
      <xdr:row>22</xdr:row>
      <xdr:rowOff>157223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1800" y="3535680"/>
          <a:ext cx="1043940" cy="51536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9</xdr:col>
      <xdr:colOff>99061</xdr:colOff>
      <xdr:row>31</xdr:row>
      <xdr:rowOff>15240</xdr:rowOff>
    </xdr:from>
    <xdr:to>
      <xdr:col>10</xdr:col>
      <xdr:colOff>778445</xdr:colOff>
      <xdr:row>33</xdr:row>
      <xdr:rowOff>167640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36081" y="5440680"/>
          <a:ext cx="1578544" cy="48768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137160</xdr:colOff>
      <xdr:row>1</xdr:row>
      <xdr:rowOff>68580</xdr:rowOff>
    </xdr:from>
    <xdr:to>
      <xdr:col>10</xdr:col>
      <xdr:colOff>213360</xdr:colOff>
      <xdr:row>19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8</xdr:row>
      <xdr:rowOff>76200</xdr:rowOff>
    </xdr:from>
    <xdr:to>
      <xdr:col>13</xdr:col>
      <xdr:colOff>167640</xdr:colOff>
      <xdr:row>30</xdr:row>
      <xdr:rowOff>45720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35"/>
  <sheetViews>
    <sheetView showGridLines="0" tabSelected="1" topLeftCell="A4" zoomScaleNormal="100" workbookViewId="0">
      <selection activeCell="F46" sqref="F46"/>
    </sheetView>
  </sheetViews>
  <sheetFormatPr defaultRowHeight="13.2" x14ac:dyDescent="0.25"/>
  <cols>
    <col min="1" max="1" width="8.88671875" style="76"/>
    <col min="2" max="4" width="8" style="76" customWidth="1"/>
    <col min="6" max="6" width="14" customWidth="1"/>
    <col min="7" max="7" width="13" customWidth="1"/>
    <col min="8" max="9" width="14" customWidth="1"/>
    <col min="10" max="10" width="13.109375" bestFit="1" customWidth="1"/>
    <col min="11" max="11" width="13.109375" customWidth="1"/>
    <col min="12" max="15" width="9.109375" style="7" customWidth="1"/>
  </cols>
  <sheetData>
    <row r="1" spans="1:21" ht="16.2" thickBot="1" x14ac:dyDescent="0.4">
      <c r="A1" s="111" t="s">
        <v>21</v>
      </c>
      <c r="B1" s="112"/>
      <c r="C1" s="112"/>
      <c r="D1" s="112"/>
      <c r="F1" s="109">
        <f>COUNT(A:A)</f>
        <v>133</v>
      </c>
      <c r="G1" s="32" t="str">
        <f t="array" ref="G1:I1">B2:D2</f>
        <v>PPG</v>
      </c>
      <c r="H1" s="33" t="str">
        <v>EXXON</v>
      </c>
      <c r="I1" s="34" t="str">
        <v>DOW</v>
      </c>
      <c r="J1" s="29" t="s">
        <v>28</v>
      </c>
      <c r="L1" s="18" t="s">
        <v>20</v>
      </c>
      <c r="P1" s="28">
        <f>COUNT(L:L)</f>
        <v>0</v>
      </c>
      <c r="Q1" s="19" t="s">
        <v>22</v>
      </c>
      <c r="R1" s="19" t="s">
        <v>23</v>
      </c>
      <c r="S1" s="19" t="s">
        <v>24</v>
      </c>
      <c r="T1" s="29" t="s">
        <v>28</v>
      </c>
    </row>
    <row r="2" spans="1:21" ht="15.6" x14ac:dyDescent="0.35">
      <c r="A2" s="79" t="s">
        <v>35</v>
      </c>
      <c r="B2" s="82" t="s">
        <v>25</v>
      </c>
      <c r="C2" s="77" t="s">
        <v>26</v>
      </c>
      <c r="D2" s="78" t="s">
        <v>27</v>
      </c>
      <c r="F2" s="25" t="s">
        <v>5</v>
      </c>
      <c r="G2" s="21"/>
      <c r="H2" s="22"/>
      <c r="I2" s="22"/>
      <c r="J2" s="31"/>
      <c r="K2" s="2"/>
      <c r="L2" s="82" t="s">
        <v>22</v>
      </c>
      <c r="M2" s="77" t="s">
        <v>23</v>
      </c>
      <c r="N2" s="78" t="s">
        <v>24</v>
      </c>
      <c r="P2" s="25" t="s">
        <v>5</v>
      </c>
      <c r="Q2" s="21"/>
      <c r="R2" s="22"/>
      <c r="S2" s="22"/>
      <c r="T2" s="31"/>
    </row>
    <row r="3" spans="1:21" ht="13.8" thickBot="1" x14ac:dyDescent="0.3">
      <c r="A3" s="80">
        <v>1</v>
      </c>
      <c r="B3" s="83">
        <v>-9.7281587709086431E-2</v>
      </c>
      <c r="C3" s="84">
        <v>0.17410030145843183</v>
      </c>
      <c r="D3" s="85">
        <v>-0.14015006766579127</v>
      </c>
      <c r="F3" s="26" t="s">
        <v>4</v>
      </c>
      <c r="G3" s="23"/>
      <c r="H3" s="24"/>
      <c r="I3" s="24"/>
      <c r="J3" s="30"/>
      <c r="K3" s="2"/>
      <c r="L3" s="97"/>
      <c r="M3" s="98"/>
      <c r="N3" s="99"/>
      <c r="P3" s="26" t="s">
        <v>4</v>
      </c>
      <c r="Q3" s="23"/>
      <c r="R3" s="24"/>
      <c r="S3" s="24"/>
      <c r="T3" s="30"/>
    </row>
    <row r="4" spans="1:21" x14ac:dyDescent="0.25">
      <c r="A4" s="80">
        <f>A3+1</f>
        <v>2</v>
      </c>
      <c r="B4" s="83">
        <v>0.17950405781204543</v>
      </c>
      <c r="C4" s="84">
        <v>6.3158774533301251E-2</v>
      </c>
      <c r="D4" s="85">
        <v>0.12044999021235922</v>
      </c>
      <c r="J4" s="2"/>
      <c r="K4" s="2"/>
      <c r="L4" s="100"/>
      <c r="M4" s="101"/>
      <c r="N4" s="102"/>
      <c r="T4" s="2"/>
    </row>
    <row r="5" spans="1:21" ht="13.8" thickBot="1" x14ac:dyDescent="0.3">
      <c r="A5" s="80">
        <f t="shared" ref="A5:A68" si="0">A4+1</f>
        <v>3</v>
      </c>
      <c r="B5" s="83">
        <v>0.21390442197400353</v>
      </c>
      <c r="C5" s="84">
        <v>-0.58588024235319314</v>
      </c>
      <c r="D5" s="85">
        <v>0.25262874067035906</v>
      </c>
      <c r="F5" t="s">
        <v>3</v>
      </c>
      <c r="J5" s="2"/>
      <c r="K5" s="2"/>
      <c r="L5" s="100"/>
      <c r="M5" s="101"/>
      <c r="N5" s="102"/>
      <c r="P5" t="s">
        <v>3</v>
      </c>
      <c r="T5" s="2"/>
    </row>
    <row r="6" spans="1:21" x14ac:dyDescent="0.25">
      <c r="A6" s="80">
        <f t="shared" si="0"/>
        <v>4</v>
      </c>
      <c r="B6" s="83">
        <v>0.60713376525792384</v>
      </c>
      <c r="C6" s="84">
        <v>-1.6327569966639166</v>
      </c>
      <c r="D6" s="85">
        <v>0.23648741383210015</v>
      </c>
      <c r="F6" s="94"/>
      <c r="G6" s="1" t="str">
        <f t="array" ref="G6:I6">B2:D2</f>
        <v>PPG</v>
      </c>
      <c r="H6" s="1" t="str">
        <v>EXXON</v>
      </c>
      <c r="I6" s="1" t="str">
        <v>DOW</v>
      </c>
      <c r="J6" s="2"/>
      <c r="K6" s="2"/>
      <c r="L6" s="100"/>
      <c r="M6" s="101"/>
      <c r="N6" s="102"/>
      <c r="P6" s="1"/>
      <c r="Q6" s="1" t="s">
        <v>6</v>
      </c>
      <c r="R6" s="1" t="s">
        <v>7</v>
      </c>
      <c r="S6" s="1" t="s">
        <v>9</v>
      </c>
      <c r="T6" s="2"/>
    </row>
    <row r="7" spans="1:21" x14ac:dyDescent="0.25">
      <c r="A7" s="80">
        <f t="shared" si="0"/>
        <v>5</v>
      </c>
      <c r="B7" s="83">
        <v>-0.37172890758407406</v>
      </c>
      <c r="C7" s="84">
        <v>0.60847191353207675</v>
      </c>
      <c r="D7" s="85">
        <v>0.1788653462910714</v>
      </c>
      <c r="F7" s="95" t="str">
        <f t="array" ref="F7:F9">TRANSPOSE(B2:D2)</f>
        <v>PPG</v>
      </c>
      <c r="G7" s="4"/>
      <c r="H7" s="4"/>
      <c r="I7" s="4"/>
      <c r="J7" s="2"/>
      <c r="K7" s="2"/>
      <c r="L7" s="100"/>
      <c r="M7" s="101"/>
      <c r="N7" s="102"/>
      <c r="P7" s="74" t="s">
        <v>6</v>
      </c>
      <c r="Q7" s="4"/>
      <c r="R7" s="4"/>
      <c r="S7" s="4"/>
      <c r="T7" s="2"/>
    </row>
    <row r="8" spans="1:21" x14ac:dyDescent="0.25">
      <c r="A8" s="80">
        <f t="shared" si="0"/>
        <v>6</v>
      </c>
      <c r="B8" s="83">
        <v>0.30374108516627124</v>
      </c>
      <c r="C8" s="84">
        <v>1.1048421553524361</v>
      </c>
      <c r="D8" s="85">
        <v>0.18269059404743618</v>
      </c>
      <c r="F8" s="95" t="str">
        <v>EXXON</v>
      </c>
      <c r="G8" s="4"/>
      <c r="H8" s="4"/>
      <c r="I8" s="4"/>
      <c r="J8" s="2"/>
      <c r="K8" s="2"/>
      <c r="L8" s="100"/>
      <c r="M8" s="101"/>
      <c r="N8" s="102"/>
      <c r="P8" s="74" t="s">
        <v>7</v>
      </c>
      <c r="Q8" s="4"/>
      <c r="R8" s="4"/>
      <c r="S8" s="4"/>
      <c r="T8" s="2"/>
    </row>
    <row r="9" spans="1:21" ht="13.8" thickBot="1" x14ac:dyDescent="0.3">
      <c r="A9" s="80">
        <f t="shared" si="0"/>
        <v>7</v>
      </c>
      <c r="B9" s="83">
        <v>-1.6283041553706821</v>
      </c>
      <c r="C9" s="84">
        <v>-1.092126145871974</v>
      </c>
      <c r="D9" s="85">
        <v>0.20467521754603038</v>
      </c>
      <c r="F9" s="96" t="str">
        <v>DOW</v>
      </c>
      <c r="G9" s="6"/>
      <c r="H9" s="6"/>
      <c r="I9" s="6"/>
      <c r="J9" s="2"/>
      <c r="K9" s="2"/>
      <c r="L9" s="100"/>
      <c r="M9" s="101"/>
      <c r="N9" s="102"/>
      <c r="P9" s="75" t="s">
        <v>9</v>
      </c>
      <c r="Q9" s="6"/>
      <c r="R9" s="6"/>
      <c r="S9" s="6"/>
      <c r="T9" s="2"/>
    </row>
    <row r="10" spans="1:21" ht="14.4" x14ac:dyDescent="0.3">
      <c r="A10" s="80">
        <f t="shared" si="0"/>
        <v>8</v>
      </c>
      <c r="B10" s="83">
        <v>-0.53976008982739054</v>
      </c>
      <c r="C10" s="84">
        <v>-8.4392494033169216E-2</v>
      </c>
      <c r="D10" s="85">
        <v>-0.31044173402530922</v>
      </c>
      <c r="J10" s="2"/>
      <c r="K10" s="2"/>
      <c r="L10" s="100"/>
      <c r="M10" s="101"/>
      <c r="N10" s="102"/>
      <c r="S10" s="27"/>
    </row>
    <row r="11" spans="1:21" ht="13.8" thickBot="1" x14ac:dyDescent="0.3">
      <c r="A11" s="80">
        <f t="shared" si="0"/>
        <v>9</v>
      </c>
      <c r="B11" s="83">
        <v>2.2977098398920048E-2</v>
      </c>
      <c r="C11" s="84">
        <v>-0.37615104742598127</v>
      </c>
      <c r="D11" s="85">
        <v>-0.11017406061420748</v>
      </c>
      <c r="F11" s="17" t="s">
        <v>19</v>
      </c>
      <c r="G11" s="76"/>
      <c r="H11" s="76"/>
      <c r="I11" s="76"/>
      <c r="J11" s="2"/>
      <c r="K11" s="2"/>
      <c r="L11" s="100"/>
      <c r="M11" s="101"/>
      <c r="N11" s="102"/>
    </row>
    <row r="12" spans="1:21" ht="15" thickBot="1" x14ac:dyDescent="0.35">
      <c r="A12" s="80">
        <f t="shared" si="0"/>
        <v>10</v>
      </c>
      <c r="B12" s="83">
        <v>-0.11726327230949124</v>
      </c>
      <c r="C12" s="84">
        <v>-1.2149927065062633</v>
      </c>
      <c r="D12" s="85">
        <v>0.54145268778916644</v>
      </c>
      <c r="G12" s="93" t="s">
        <v>10</v>
      </c>
      <c r="H12" s="93" t="s">
        <v>11</v>
      </c>
      <c r="I12" s="89" t="s">
        <v>12</v>
      </c>
      <c r="J12" s="2"/>
      <c r="K12" s="2"/>
      <c r="L12" s="100"/>
      <c r="M12" s="101"/>
      <c r="N12" s="102"/>
      <c r="P12" t="s">
        <v>17</v>
      </c>
      <c r="T12" s="27"/>
      <c r="U12" s="27"/>
    </row>
    <row r="13" spans="1:21" ht="14.4" x14ac:dyDescent="0.3">
      <c r="A13" s="80">
        <f t="shared" si="0"/>
        <v>11</v>
      </c>
      <c r="B13" s="83">
        <v>-0.66981979189648844</v>
      </c>
      <c r="C13" s="84">
        <v>1.0185319867985352</v>
      </c>
      <c r="D13" s="85">
        <v>-0.29354580894485716</v>
      </c>
      <c r="G13" s="8">
        <f t="array" ref="G13:I15">'MINITAB OUTPUT'!B2:D4</f>
        <v>0.65626145585767581</v>
      </c>
      <c r="H13" s="8">
        <v>-0.20030502995909855</v>
      </c>
      <c r="I13" s="90">
        <v>-0.72746051200642381</v>
      </c>
      <c r="J13" s="2"/>
      <c r="K13" s="2"/>
      <c r="L13" s="103"/>
      <c r="M13" s="104"/>
      <c r="N13" s="105"/>
      <c r="P13" s="1"/>
      <c r="Q13" s="1" t="s">
        <v>6</v>
      </c>
      <c r="R13" s="1" t="s">
        <v>7</v>
      </c>
      <c r="S13" s="1" t="s">
        <v>9</v>
      </c>
    </row>
    <row r="14" spans="1:21" ht="14.4" x14ac:dyDescent="0.3">
      <c r="A14" s="80">
        <f t="shared" si="0"/>
        <v>12</v>
      </c>
      <c r="B14" s="83">
        <v>-0.49837694439257935</v>
      </c>
      <c r="C14" s="84">
        <v>0.21314063316591073</v>
      </c>
      <c r="D14" s="85">
        <v>-0.29863102195405383</v>
      </c>
      <c r="G14" s="9">
        <v>0.4198279505651934</v>
      </c>
      <c r="H14" s="9">
        <v>0.89803177882357577</v>
      </c>
      <c r="I14" s="91">
        <v>0.13146640691520384</v>
      </c>
      <c r="J14" s="2"/>
      <c r="K14" s="2"/>
      <c r="L14" s="103"/>
      <c r="M14" s="104"/>
      <c r="N14" s="105"/>
      <c r="P14" s="3" t="s">
        <v>0</v>
      </c>
      <c r="Q14" s="4"/>
      <c r="R14" s="4"/>
      <c r="S14" s="4"/>
    </row>
    <row r="15" spans="1:21" ht="15" thickBot="1" x14ac:dyDescent="0.35">
      <c r="A15" s="80">
        <f t="shared" si="0"/>
        <v>13</v>
      </c>
      <c r="B15" s="83">
        <v>-0.33798954259507613</v>
      </c>
      <c r="C15" s="84">
        <v>1.1155114502145878</v>
      </c>
      <c r="D15" s="85">
        <v>0.17386067010649456</v>
      </c>
      <c r="G15" s="10">
        <v>0.62694927504527298</v>
      </c>
      <c r="H15" s="10">
        <v>-0.3916845914713124</v>
      </c>
      <c r="I15" s="92">
        <v>0.67343729279284614</v>
      </c>
      <c r="J15" s="2"/>
      <c r="K15" s="2"/>
      <c r="L15" s="103"/>
      <c r="M15" s="104"/>
      <c r="N15" s="105"/>
      <c r="P15" s="3" t="s">
        <v>1</v>
      </c>
      <c r="Q15" s="4"/>
      <c r="R15" s="4"/>
      <c r="S15" s="4"/>
    </row>
    <row r="16" spans="1:21" ht="13.8" thickBot="1" x14ac:dyDescent="0.3">
      <c r="A16" s="80">
        <f t="shared" si="0"/>
        <v>14</v>
      </c>
      <c r="B16" s="83">
        <v>2.0490064982663179</v>
      </c>
      <c r="C16" s="84">
        <v>0.80182169570062334</v>
      </c>
      <c r="D16" s="85">
        <v>0.34685438430317961</v>
      </c>
      <c r="F16" s="15" t="s">
        <v>18</v>
      </c>
      <c r="G16" s="108">
        <f t="array" ref="G16:I16">TRANSPOSE('MINITAB OUTPUT'!A2:A4)</f>
        <v>1.9068015436940597</v>
      </c>
      <c r="H16" s="108">
        <v>0.8173337313771375</v>
      </c>
      <c r="I16" s="20">
        <v>0.27586472492880398</v>
      </c>
      <c r="J16" s="2"/>
      <c r="K16" s="2"/>
      <c r="L16" s="100"/>
      <c r="M16" s="101"/>
      <c r="N16" s="102"/>
      <c r="P16" s="5" t="s">
        <v>2</v>
      </c>
      <c r="Q16" s="6"/>
      <c r="R16" s="6"/>
      <c r="S16" s="6"/>
    </row>
    <row r="17" spans="1:17" x14ac:dyDescent="0.25">
      <c r="A17" s="80">
        <f t="shared" si="0"/>
        <v>15</v>
      </c>
      <c r="B17" s="83">
        <v>7.625043766271225E-2</v>
      </c>
      <c r="C17" s="84">
        <v>0.71535114032052993</v>
      </c>
      <c r="D17" s="85">
        <v>1.1727543482948393</v>
      </c>
      <c r="F17" s="76"/>
      <c r="G17" s="76"/>
      <c r="H17" s="7"/>
      <c r="I17" s="76"/>
      <c r="J17" s="2"/>
      <c r="K17" s="2"/>
      <c r="L17" s="100"/>
      <c r="M17" s="101"/>
      <c r="N17" s="102"/>
    </row>
    <row r="18" spans="1:17" x14ac:dyDescent="0.25">
      <c r="A18" s="80">
        <f t="shared" si="0"/>
        <v>16</v>
      </c>
      <c r="B18" s="83">
        <v>-0.73729095691847668</v>
      </c>
      <c r="C18" s="84">
        <v>-0.14637458539372489</v>
      </c>
      <c r="D18" s="85">
        <v>-1.6014561354128836</v>
      </c>
      <c r="F18" s="16" t="s">
        <v>8</v>
      </c>
      <c r="J18" s="2"/>
      <c r="K18" s="2"/>
      <c r="L18" s="100"/>
      <c r="M18" s="101"/>
      <c r="N18" s="102"/>
      <c r="P18" s="72" t="s">
        <v>40</v>
      </c>
      <c r="Q18" s="73">
        <v>0.4</v>
      </c>
    </row>
    <row r="19" spans="1:17" ht="13.8" thickBot="1" x14ac:dyDescent="0.3">
      <c r="A19" s="80">
        <f t="shared" si="0"/>
        <v>17</v>
      </c>
      <c r="B19" s="83">
        <v>-1.1427649574895298</v>
      </c>
      <c r="C19" s="84">
        <v>-1.0934384521043363</v>
      </c>
      <c r="D19" s="85">
        <v>-0.13564056342368949</v>
      </c>
      <c r="F19" t="s">
        <v>17</v>
      </c>
      <c r="J19" s="2"/>
      <c r="K19" s="2"/>
      <c r="L19" s="100"/>
      <c r="M19" s="101"/>
      <c r="N19" s="102"/>
    </row>
    <row r="20" spans="1:17" x14ac:dyDescent="0.25">
      <c r="A20" s="80">
        <f t="shared" si="0"/>
        <v>18</v>
      </c>
      <c r="B20" s="83">
        <v>6.1835030237953621E-2</v>
      </c>
      <c r="C20" s="84">
        <v>-0.21429786622947283</v>
      </c>
      <c r="D20" s="85">
        <v>-3.3318072643192261E-2</v>
      </c>
      <c r="F20" s="1"/>
      <c r="G20" s="1" t="s">
        <v>6</v>
      </c>
      <c r="H20" s="1" t="s">
        <v>7</v>
      </c>
      <c r="I20" s="1" t="s">
        <v>9</v>
      </c>
      <c r="J20" s="2"/>
      <c r="K20" s="2"/>
      <c r="L20" s="100"/>
      <c r="M20" s="101"/>
      <c r="N20" s="102"/>
    </row>
    <row r="21" spans="1:17" x14ac:dyDescent="0.25">
      <c r="A21" s="80">
        <f t="shared" si="0"/>
        <v>19</v>
      </c>
      <c r="B21" s="83">
        <v>2.5410968813132935</v>
      </c>
      <c r="C21" s="84">
        <v>2.3018080385936379</v>
      </c>
      <c r="D21" s="85">
        <v>1.6702896105527476</v>
      </c>
      <c r="F21" s="35" t="str">
        <f t="array" ref="F21:F23">F7:F9</f>
        <v>PPG</v>
      </c>
      <c r="G21" s="4"/>
      <c r="H21" s="4"/>
      <c r="I21" s="4"/>
      <c r="J21" s="2"/>
      <c r="K21" s="2"/>
      <c r="L21" s="100"/>
      <c r="M21" s="101"/>
      <c r="N21" s="102"/>
    </row>
    <row r="22" spans="1:17" x14ac:dyDescent="0.25">
      <c r="A22" s="80">
        <f t="shared" si="0"/>
        <v>20</v>
      </c>
      <c r="B22" s="83">
        <v>-1.3500217583505292</v>
      </c>
      <c r="C22" s="84">
        <v>-0.37260061475226758</v>
      </c>
      <c r="D22" s="85">
        <v>-0.27918870344343799</v>
      </c>
      <c r="F22" s="35" t="str">
        <v>EXXON</v>
      </c>
      <c r="G22" s="4"/>
      <c r="H22" s="4"/>
      <c r="I22" s="4"/>
      <c r="J22" s="2"/>
      <c r="K22" s="2"/>
      <c r="L22" s="100"/>
      <c r="M22" s="101"/>
      <c r="N22" s="102"/>
    </row>
    <row r="23" spans="1:17" ht="13.8" thickBot="1" x14ac:dyDescent="0.3">
      <c r="A23" s="80">
        <f t="shared" si="0"/>
        <v>21</v>
      </c>
      <c r="B23" s="83">
        <v>-1.9008912219768026</v>
      </c>
      <c r="C23" s="84">
        <v>-1.0033417565047891</v>
      </c>
      <c r="D23" s="85">
        <v>-0.67523697532870042</v>
      </c>
      <c r="F23" s="36" t="str">
        <v>DOW</v>
      </c>
      <c r="G23" s="6"/>
      <c r="H23" s="6"/>
      <c r="I23" s="6"/>
      <c r="J23" s="2"/>
      <c r="K23" s="2"/>
      <c r="L23" s="100"/>
      <c r="M23" s="101"/>
      <c r="N23" s="102"/>
    </row>
    <row r="24" spans="1:17" x14ac:dyDescent="0.25">
      <c r="A24" s="80">
        <f t="shared" si="0"/>
        <v>22</v>
      </c>
      <c r="B24" s="83">
        <v>-0.99537729157325683</v>
      </c>
      <c r="C24" s="84">
        <v>-1.1475890621899734</v>
      </c>
      <c r="D24" s="85">
        <v>-0.75806738986822453</v>
      </c>
      <c r="F24" s="39" t="s">
        <v>5</v>
      </c>
      <c r="G24" s="7"/>
      <c r="H24" s="7"/>
      <c r="I24" s="7"/>
      <c r="J24" s="2"/>
      <c r="K24" s="2"/>
      <c r="L24" s="100"/>
      <c r="M24" s="101"/>
      <c r="N24" s="102"/>
    </row>
    <row r="25" spans="1:17" x14ac:dyDescent="0.25">
      <c r="A25" s="80">
        <f t="shared" si="0"/>
        <v>23</v>
      </c>
      <c r="B25" s="83">
        <v>-0.1603265491656865</v>
      </c>
      <c r="C25" s="84">
        <v>-0.62240695656593337</v>
      </c>
      <c r="D25" s="85">
        <v>-0.18253593018618319</v>
      </c>
      <c r="F25" s="40" t="s">
        <v>29</v>
      </c>
      <c r="G25" s="41"/>
      <c r="H25" s="41"/>
      <c r="I25" s="41"/>
      <c r="J25" s="2"/>
      <c r="K25" s="2"/>
      <c r="L25" s="100"/>
      <c r="M25" s="101"/>
      <c r="N25" s="102"/>
    </row>
    <row r="26" spans="1:17" x14ac:dyDescent="0.25">
      <c r="A26" s="80">
        <f t="shared" si="0"/>
        <v>24</v>
      </c>
      <c r="B26" s="83">
        <v>0.33260278037025703</v>
      </c>
      <c r="C26" s="84">
        <v>-0.4786228988756196</v>
      </c>
      <c r="D26" s="85">
        <v>6.4787835302377098E-2</v>
      </c>
      <c r="F26" s="3" t="s">
        <v>13</v>
      </c>
      <c r="G26" s="11"/>
      <c r="H26" s="11"/>
      <c r="I26" s="11"/>
      <c r="J26" s="2"/>
      <c r="K26" s="2"/>
      <c r="L26" s="100"/>
      <c r="M26" s="101"/>
      <c r="N26" s="102"/>
    </row>
    <row r="27" spans="1:17" ht="13.8" thickBot="1" x14ac:dyDescent="0.3">
      <c r="A27" s="80">
        <f t="shared" si="0"/>
        <v>25</v>
      </c>
      <c r="B27" s="83">
        <v>-0.4506488985583138</v>
      </c>
      <c r="C27" s="84">
        <v>0.47925710623543832</v>
      </c>
      <c r="D27" s="85">
        <v>0.40564491236073219</v>
      </c>
      <c r="F27" s="5" t="s">
        <v>14</v>
      </c>
      <c r="G27" s="14"/>
      <c r="H27" s="14"/>
      <c r="I27" s="14"/>
      <c r="J27" s="2"/>
      <c r="K27" s="2"/>
      <c r="L27" s="100"/>
      <c r="M27" s="101"/>
      <c r="N27" s="102"/>
    </row>
    <row r="28" spans="1:17" x14ac:dyDescent="0.25">
      <c r="A28" s="80">
        <f t="shared" si="0"/>
        <v>26</v>
      </c>
      <c r="B28" s="83">
        <v>-0.80046814895598051</v>
      </c>
      <c r="C28" s="84">
        <v>-0.9765199946865708</v>
      </c>
      <c r="D28" s="85">
        <v>-0.24190683978702332</v>
      </c>
      <c r="J28" s="2"/>
      <c r="K28" s="2"/>
      <c r="L28" s="100"/>
      <c r="M28" s="101"/>
      <c r="N28" s="102"/>
    </row>
    <row r="29" spans="1:17" x14ac:dyDescent="0.25">
      <c r="A29" s="80">
        <f t="shared" si="0"/>
        <v>27</v>
      </c>
      <c r="B29" s="83">
        <v>0.66055932171899712</v>
      </c>
      <c r="C29" s="84">
        <v>0.31950505788958355</v>
      </c>
      <c r="D29" s="85">
        <v>0.6282327026433624</v>
      </c>
      <c r="J29" s="2"/>
      <c r="K29" s="2"/>
      <c r="L29" s="100"/>
      <c r="M29" s="101"/>
      <c r="N29" s="102"/>
    </row>
    <row r="30" spans="1:17" ht="13.8" thickBot="1" x14ac:dyDescent="0.3">
      <c r="A30" s="80">
        <f t="shared" si="0"/>
        <v>28</v>
      </c>
      <c r="B30" s="83">
        <v>-0.71319186785868405</v>
      </c>
      <c r="C30" s="84">
        <v>-1.2859738770075939</v>
      </c>
      <c r="D30" s="85">
        <v>-0.18577580298850641</v>
      </c>
      <c r="F30" s="37" t="s">
        <v>15</v>
      </c>
      <c r="J30" s="2"/>
      <c r="K30" s="2"/>
      <c r="L30" s="100"/>
      <c r="M30" s="101"/>
      <c r="N30" s="102"/>
    </row>
    <row r="31" spans="1:17" x14ac:dyDescent="0.25">
      <c r="A31" s="80">
        <f t="shared" si="0"/>
        <v>29</v>
      </c>
      <c r="B31" s="83">
        <v>0.62080975774370228</v>
      </c>
      <c r="C31" s="84">
        <v>0.33367224215376751</v>
      </c>
      <c r="D31" s="85">
        <v>-0.54692675008180414</v>
      </c>
      <c r="F31" s="1"/>
      <c r="G31" s="1" t="s">
        <v>6</v>
      </c>
      <c r="H31" s="1" t="s">
        <v>7</v>
      </c>
      <c r="I31" s="1" t="s">
        <v>9</v>
      </c>
      <c r="J31" s="2"/>
      <c r="K31" s="2"/>
      <c r="L31" s="100"/>
      <c r="M31" s="101"/>
      <c r="N31" s="102"/>
    </row>
    <row r="32" spans="1:17" x14ac:dyDescent="0.25">
      <c r="A32" s="80">
        <f t="shared" si="0"/>
        <v>30</v>
      </c>
      <c r="B32" s="83">
        <v>0.9314169133355199</v>
      </c>
      <c r="C32" s="84">
        <v>-1.342432804115441</v>
      </c>
      <c r="D32" s="85">
        <v>-0.22566885997422084</v>
      </c>
      <c r="F32" s="35" t="str">
        <f t="array" ref="F32:F34">F7:F9</f>
        <v>PPG</v>
      </c>
      <c r="G32" s="12"/>
      <c r="H32" s="12"/>
      <c r="I32" s="12"/>
      <c r="J32" s="2"/>
      <c r="K32" s="2"/>
      <c r="L32" s="100"/>
      <c r="M32" s="101"/>
      <c r="N32" s="102"/>
    </row>
    <row r="33" spans="1:14" x14ac:dyDescent="0.25">
      <c r="A33" s="80">
        <f t="shared" si="0"/>
        <v>31</v>
      </c>
      <c r="B33" s="83">
        <v>0.31640675829432491</v>
      </c>
      <c r="C33" s="84">
        <v>0.48784727443205</v>
      </c>
      <c r="D33" s="85">
        <v>-0.57652456687989984</v>
      </c>
      <c r="F33" s="35" t="str">
        <v>EXXON</v>
      </c>
      <c r="G33" s="12"/>
      <c r="H33" s="12"/>
      <c r="I33" s="12"/>
      <c r="J33" s="2"/>
      <c r="K33" s="2"/>
      <c r="L33" s="100"/>
      <c r="M33" s="101"/>
      <c r="N33" s="102"/>
    </row>
    <row r="34" spans="1:14" ht="13.8" thickBot="1" x14ac:dyDescent="0.3">
      <c r="A34" s="80">
        <f t="shared" si="0"/>
        <v>32</v>
      </c>
      <c r="B34" s="83">
        <v>-0.83662741738518753</v>
      </c>
      <c r="C34" s="84">
        <v>-1.2856713799187176</v>
      </c>
      <c r="D34" s="85">
        <v>-0.21822336218800131</v>
      </c>
      <c r="F34" s="36" t="str">
        <v>DOW</v>
      </c>
      <c r="G34" s="13"/>
      <c r="H34" s="13"/>
      <c r="I34" s="13"/>
      <c r="J34" s="2"/>
      <c r="K34" s="2"/>
      <c r="L34" s="100"/>
      <c r="M34" s="101"/>
      <c r="N34" s="102"/>
    </row>
    <row r="35" spans="1:14" x14ac:dyDescent="0.25">
      <c r="A35" s="80">
        <f t="shared" si="0"/>
        <v>33</v>
      </c>
      <c r="B35" s="83">
        <v>0.40317548595508734</v>
      </c>
      <c r="C35" s="84">
        <v>0.14410435217934325</v>
      </c>
      <c r="D35" s="85">
        <v>0.28882091125504894</v>
      </c>
      <c r="J35" s="2"/>
      <c r="K35" s="2"/>
      <c r="L35" s="100"/>
      <c r="M35" s="101"/>
      <c r="N35" s="102"/>
    </row>
    <row r="36" spans="1:14" ht="13.8" thickBot="1" x14ac:dyDescent="0.3">
      <c r="A36" s="80">
        <f t="shared" si="0"/>
        <v>34</v>
      </c>
      <c r="B36" s="83">
        <v>-1.0075076343476725</v>
      </c>
      <c r="C36" s="84">
        <v>-0.48958674128563873</v>
      </c>
      <c r="D36" s="85">
        <v>-0.16719458887317307</v>
      </c>
      <c r="F36" s="38" t="s">
        <v>16</v>
      </c>
      <c r="J36" s="2"/>
      <c r="K36" s="2"/>
      <c r="L36" s="100"/>
      <c r="M36" s="101"/>
      <c r="N36" s="102"/>
    </row>
    <row r="37" spans="1:14" x14ac:dyDescent="0.25">
      <c r="A37" s="80">
        <f t="shared" si="0"/>
        <v>35</v>
      </c>
      <c r="B37" s="83">
        <v>0.4182506689151349</v>
      </c>
      <c r="C37" s="84">
        <v>-8.6847847176437079E-2</v>
      </c>
      <c r="D37" s="85">
        <v>-0.15169109745061626</v>
      </c>
      <c r="F37" s="1"/>
      <c r="G37" s="1" t="s">
        <v>6</v>
      </c>
      <c r="H37" s="1" t="s">
        <v>7</v>
      </c>
      <c r="I37" s="1" t="s">
        <v>9</v>
      </c>
      <c r="J37" s="2"/>
      <c r="K37" s="2"/>
      <c r="L37" s="100"/>
      <c r="M37" s="101"/>
      <c r="N37" s="102"/>
    </row>
    <row r="38" spans="1:14" x14ac:dyDescent="0.25">
      <c r="A38" s="80">
        <f t="shared" si="0"/>
        <v>36</v>
      </c>
      <c r="B38" s="83">
        <v>0.45343195550745208</v>
      </c>
      <c r="C38" s="84">
        <v>-0.36968450622194227</v>
      </c>
      <c r="D38" s="85">
        <v>0.25574533536742944</v>
      </c>
      <c r="F38" s="35" t="str">
        <f t="array" ref="F38:F40">F7:F9</f>
        <v>PPG</v>
      </c>
      <c r="G38" s="12"/>
      <c r="H38" s="12"/>
      <c r="I38" s="12"/>
      <c r="J38" s="2"/>
      <c r="K38" s="2"/>
      <c r="L38" s="100"/>
      <c r="M38" s="101"/>
      <c r="N38" s="102"/>
    </row>
    <row r="39" spans="1:14" x14ac:dyDescent="0.25">
      <c r="A39" s="80">
        <f t="shared" si="0"/>
        <v>37</v>
      </c>
      <c r="B39" s="83">
        <v>-0.18314658222449132</v>
      </c>
      <c r="C39" s="84">
        <v>0.91989012861586095</v>
      </c>
      <c r="D39" s="85">
        <v>0.11336205089168488</v>
      </c>
      <c r="F39" s="35" t="str">
        <v>EXXON</v>
      </c>
      <c r="G39" s="12"/>
      <c r="H39" s="12"/>
      <c r="I39" s="12"/>
      <c r="K39" s="2"/>
      <c r="L39" s="100"/>
      <c r="M39" s="101"/>
      <c r="N39" s="102"/>
    </row>
    <row r="40" spans="1:14" ht="13.8" thickBot="1" x14ac:dyDescent="0.3">
      <c r="A40" s="80">
        <f t="shared" si="0"/>
        <v>38</v>
      </c>
      <c r="B40" s="83">
        <v>-0.51427084226931397</v>
      </c>
      <c r="C40" s="84">
        <v>0.19532705099202652</v>
      </c>
      <c r="D40" s="85">
        <v>-6.4534464293796667E-2</v>
      </c>
      <c r="F40" s="36" t="str">
        <v>DOW</v>
      </c>
      <c r="G40" s="13"/>
      <c r="H40" s="13"/>
      <c r="I40" s="13"/>
      <c r="K40" s="2"/>
      <c r="L40" s="100"/>
      <c r="M40" s="101"/>
      <c r="N40" s="102"/>
    </row>
    <row r="41" spans="1:14" x14ac:dyDescent="0.25">
      <c r="A41" s="80">
        <f t="shared" si="0"/>
        <v>39</v>
      </c>
      <c r="B41" s="83">
        <v>1.0840042565323391</v>
      </c>
      <c r="C41" s="84">
        <v>0.9964975424776622</v>
      </c>
      <c r="D41" s="85">
        <v>0.46552096109771274</v>
      </c>
      <c r="J41" s="2"/>
      <c r="K41" s="2"/>
      <c r="L41" s="100"/>
      <c r="M41" s="101"/>
      <c r="N41" s="102"/>
    </row>
    <row r="42" spans="1:14" x14ac:dyDescent="0.25">
      <c r="A42" s="80">
        <f t="shared" si="0"/>
        <v>40</v>
      </c>
      <c r="B42" s="83">
        <v>-0.75246838181517894</v>
      </c>
      <c r="C42" s="84">
        <v>-2.0350563319871493</v>
      </c>
      <c r="D42" s="85">
        <v>9.743829165088376E-2</v>
      </c>
      <c r="J42" s="2"/>
      <c r="K42" s="2"/>
      <c r="L42" s="100"/>
      <c r="M42" s="101"/>
      <c r="N42" s="102"/>
    </row>
    <row r="43" spans="1:14" x14ac:dyDescent="0.25">
      <c r="A43" s="80">
        <f t="shared" si="0"/>
        <v>41</v>
      </c>
      <c r="B43" s="83">
        <v>0.24544086717489505</v>
      </c>
      <c r="C43" s="84">
        <v>1.6526870605200439</v>
      </c>
      <c r="D43" s="85">
        <v>1.0712072281528502</v>
      </c>
      <c r="J43" s="2"/>
      <c r="K43" s="2"/>
      <c r="L43" s="100"/>
      <c r="M43" s="101"/>
      <c r="N43" s="102"/>
    </row>
    <row r="44" spans="1:14" x14ac:dyDescent="0.25">
      <c r="A44" s="80">
        <f t="shared" si="0"/>
        <v>42</v>
      </c>
      <c r="B44" s="83">
        <v>-2.9008451225725755E-2</v>
      </c>
      <c r="C44" s="84">
        <v>0.95731247113021933</v>
      </c>
      <c r="D44" s="85">
        <v>-0.19001121565532803</v>
      </c>
      <c r="J44" s="2"/>
      <c r="K44" s="2"/>
      <c r="L44" s="100"/>
      <c r="M44" s="101"/>
      <c r="N44" s="102"/>
    </row>
    <row r="45" spans="1:14" x14ac:dyDescent="0.25">
      <c r="A45" s="80">
        <f t="shared" si="0"/>
        <v>43</v>
      </c>
      <c r="B45" s="83">
        <v>1.1501123112369493</v>
      </c>
      <c r="C45" s="84">
        <v>0.77370282515755628</v>
      </c>
      <c r="D45" s="85">
        <v>0.12070753687638465</v>
      </c>
      <c r="J45" s="2"/>
      <c r="K45" s="2"/>
      <c r="L45" s="100"/>
      <c r="M45" s="101"/>
      <c r="N45" s="102"/>
    </row>
    <row r="46" spans="1:14" x14ac:dyDescent="0.25">
      <c r="A46" s="80">
        <f t="shared" si="0"/>
        <v>44</v>
      </c>
      <c r="B46" s="83">
        <v>0.81064940121078166</v>
      </c>
      <c r="C46" s="84">
        <v>-0.39450564274243022</v>
      </c>
      <c r="D46" s="85">
        <v>0.17905312303003432</v>
      </c>
      <c r="J46" s="2"/>
      <c r="K46" s="2"/>
      <c r="L46" s="100"/>
      <c r="M46" s="101"/>
      <c r="N46" s="102"/>
    </row>
    <row r="47" spans="1:14" x14ac:dyDescent="0.25">
      <c r="A47" s="80">
        <f t="shared" si="0"/>
        <v>45</v>
      </c>
      <c r="B47" s="83">
        <v>-0.52330539345454841</v>
      </c>
      <c r="C47" s="84">
        <v>-1.4888957006916763</v>
      </c>
      <c r="D47" s="85">
        <v>0.44145533227574429</v>
      </c>
      <c r="J47" s="2"/>
      <c r="K47" s="2"/>
      <c r="L47" s="100"/>
      <c r="M47" s="101"/>
      <c r="N47" s="102"/>
    </row>
    <row r="48" spans="1:14" x14ac:dyDescent="0.25">
      <c r="A48" s="80">
        <f t="shared" si="0"/>
        <v>46</v>
      </c>
      <c r="B48" s="83">
        <v>1.1924817383948783</v>
      </c>
      <c r="C48" s="84">
        <v>0.68838696590763027</v>
      </c>
      <c r="D48" s="85">
        <v>0.61903951117340839</v>
      </c>
      <c r="J48" s="2"/>
      <c r="K48" s="2"/>
      <c r="L48" s="100"/>
      <c r="M48" s="101"/>
      <c r="N48" s="102"/>
    </row>
    <row r="49" spans="1:14" x14ac:dyDescent="0.25">
      <c r="A49" s="80">
        <f t="shared" si="0"/>
        <v>47</v>
      </c>
      <c r="B49" s="83">
        <v>-0.87384236337583043</v>
      </c>
      <c r="C49" s="84">
        <v>-0.14730967711759743</v>
      </c>
      <c r="D49" s="85">
        <v>-0.57002371998568413</v>
      </c>
      <c r="J49" s="2"/>
      <c r="K49" s="2"/>
      <c r="L49" s="100"/>
      <c r="M49" s="101"/>
      <c r="N49" s="102"/>
    </row>
    <row r="50" spans="1:14" x14ac:dyDescent="0.25">
      <c r="A50" s="80">
        <f t="shared" si="0"/>
        <v>48</v>
      </c>
      <c r="B50" s="83">
        <v>0.50202806376020936</v>
      </c>
      <c r="C50" s="84">
        <v>0.38876615579393298</v>
      </c>
      <c r="D50" s="85">
        <v>2.6114474045114338E-2</v>
      </c>
      <c r="J50" s="2"/>
      <c r="K50" s="2"/>
      <c r="L50" s="100"/>
      <c r="M50" s="101"/>
      <c r="N50" s="102"/>
    </row>
    <row r="51" spans="1:14" x14ac:dyDescent="0.25">
      <c r="A51" s="80">
        <f t="shared" si="0"/>
        <v>49</v>
      </c>
      <c r="B51" s="83">
        <v>1.2319377196813965</v>
      </c>
      <c r="C51" s="84">
        <v>-0.38547926611390709</v>
      </c>
      <c r="D51" s="85">
        <v>0.4224565889006538</v>
      </c>
      <c r="J51" s="2"/>
      <c r="K51" s="2"/>
      <c r="L51" s="100"/>
      <c r="M51" s="101"/>
      <c r="N51" s="102"/>
    </row>
    <row r="52" spans="1:14" x14ac:dyDescent="0.25">
      <c r="A52" s="80">
        <f t="shared" si="0"/>
        <v>50</v>
      </c>
      <c r="B52" s="83">
        <v>-0.2725447970260676</v>
      </c>
      <c r="C52" s="84">
        <v>1.5288471045857436E-2</v>
      </c>
      <c r="D52" s="85">
        <v>6.7084398849121107E-3</v>
      </c>
      <c r="J52" s="2"/>
      <c r="K52" s="2"/>
      <c r="L52" s="100"/>
      <c r="M52" s="101"/>
      <c r="N52" s="102"/>
    </row>
    <row r="53" spans="1:14" x14ac:dyDescent="0.25">
      <c r="A53" s="80">
        <f t="shared" si="0"/>
        <v>51</v>
      </c>
      <c r="B53" s="83">
        <v>-0.47050651236374197</v>
      </c>
      <c r="C53" s="84">
        <v>-8.2587493880992596E-2</v>
      </c>
      <c r="D53" s="85">
        <v>-0.22671998844984687</v>
      </c>
      <c r="J53" s="2"/>
      <c r="K53" s="2"/>
      <c r="L53" s="100"/>
      <c r="M53" s="101"/>
      <c r="N53" s="102"/>
    </row>
    <row r="54" spans="1:14" x14ac:dyDescent="0.25">
      <c r="A54" s="80">
        <f t="shared" si="0"/>
        <v>52</v>
      </c>
      <c r="B54" s="83">
        <v>7.4476695263166276E-2</v>
      </c>
      <c r="C54" s="84">
        <v>0.72878489755731024</v>
      </c>
      <c r="D54" s="85">
        <v>-0.13829643364648206</v>
      </c>
      <c r="J54" s="2"/>
      <c r="K54" s="2"/>
      <c r="L54" s="100"/>
      <c r="M54" s="101"/>
      <c r="N54" s="102"/>
    </row>
    <row r="55" spans="1:14" x14ac:dyDescent="0.25">
      <c r="A55" s="80">
        <f t="shared" si="0"/>
        <v>53</v>
      </c>
      <c r="B55" s="83">
        <v>1.0959559130805965</v>
      </c>
      <c r="C55" s="84">
        <v>-0.50582601201540311</v>
      </c>
      <c r="D55" s="85">
        <v>0.55684199742016205</v>
      </c>
      <c r="J55" s="2"/>
      <c r="K55" s="2"/>
      <c r="L55" s="100"/>
      <c r="M55" s="101"/>
      <c r="N55" s="102"/>
    </row>
    <row r="56" spans="1:14" x14ac:dyDescent="0.25">
      <c r="A56" s="80">
        <f t="shared" si="0"/>
        <v>54</v>
      </c>
      <c r="B56" s="83">
        <v>0.76809397236445109</v>
      </c>
      <c r="C56" s="84">
        <v>-0.70193767603470636</v>
      </c>
      <c r="D56" s="85">
        <v>0.14110320443111402</v>
      </c>
      <c r="J56" s="2"/>
      <c r="K56" s="2"/>
      <c r="L56" s="100"/>
      <c r="M56" s="101"/>
      <c r="N56" s="102"/>
    </row>
    <row r="57" spans="1:14" x14ac:dyDescent="0.25">
      <c r="A57" s="80">
        <f t="shared" si="0"/>
        <v>55</v>
      </c>
      <c r="B57" s="83">
        <v>8.7323601023290884E-2</v>
      </c>
      <c r="C57" s="84">
        <v>-0.18453539771862831</v>
      </c>
      <c r="D57" s="85">
        <v>-1.0268148939613683E-2</v>
      </c>
      <c r="J57" s="2"/>
      <c r="K57" s="2"/>
      <c r="L57" s="100"/>
      <c r="M57" s="101"/>
      <c r="N57" s="102"/>
    </row>
    <row r="58" spans="1:14" x14ac:dyDescent="0.25">
      <c r="A58" s="80">
        <f t="shared" si="0"/>
        <v>56</v>
      </c>
      <c r="B58" s="83">
        <v>0.43926508220985744</v>
      </c>
      <c r="C58" s="84">
        <v>0.90087907368288422</v>
      </c>
      <c r="D58" s="85">
        <v>-0.11548247284331729</v>
      </c>
      <c r="J58" s="2"/>
      <c r="K58" s="2"/>
      <c r="L58" s="100"/>
      <c r="M58" s="101"/>
      <c r="N58" s="102"/>
    </row>
    <row r="59" spans="1:14" x14ac:dyDescent="0.25">
      <c r="A59" s="80">
        <f t="shared" si="0"/>
        <v>57</v>
      </c>
      <c r="B59" s="83">
        <v>-4.3629907379517108E-2</v>
      </c>
      <c r="C59" s="84">
        <v>0.13241825368489835</v>
      </c>
      <c r="D59" s="85">
        <v>4.3953965438118095E-2</v>
      </c>
      <c r="J59" s="2"/>
      <c r="K59" s="2"/>
      <c r="L59" s="100"/>
      <c r="M59" s="101"/>
      <c r="N59" s="102"/>
    </row>
    <row r="60" spans="1:14" x14ac:dyDescent="0.25">
      <c r="A60" s="80">
        <f t="shared" si="0"/>
        <v>58</v>
      </c>
      <c r="B60" s="83">
        <v>0.26062862311156587</v>
      </c>
      <c r="C60" s="84">
        <v>0.20202476427276028</v>
      </c>
      <c r="D60" s="85">
        <v>-0.80703810060925607</v>
      </c>
      <c r="J60" s="2"/>
      <c r="K60" s="2"/>
      <c r="L60" s="100"/>
      <c r="M60" s="101"/>
      <c r="N60" s="102"/>
    </row>
    <row r="61" spans="1:14" x14ac:dyDescent="0.25">
      <c r="A61" s="80">
        <f t="shared" si="0"/>
        <v>59</v>
      </c>
      <c r="B61" s="83">
        <v>0.18004509427906928</v>
      </c>
      <c r="C61" s="84">
        <v>1.7744671312331857</v>
      </c>
      <c r="D61" s="85">
        <v>9.4473908623362773E-2</v>
      </c>
      <c r="J61" s="2"/>
      <c r="K61" s="2"/>
      <c r="L61" s="100"/>
      <c r="M61" s="101"/>
      <c r="N61" s="102"/>
    </row>
    <row r="62" spans="1:14" x14ac:dyDescent="0.25">
      <c r="A62" s="80">
        <f t="shared" si="0"/>
        <v>60</v>
      </c>
      <c r="B62" s="83">
        <v>-0.36379952080745676</v>
      </c>
      <c r="C62" s="84">
        <v>-1.8998347526050474</v>
      </c>
      <c r="D62" s="85">
        <v>-0.78174220562219587</v>
      </c>
      <c r="J62" s="2"/>
      <c r="K62" s="2"/>
      <c r="L62" s="100"/>
      <c r="M62" s="101"/>
      <c r="N62" s="102"/>
    </row>
    <row r="63" spans="1:14" x14ac:dyDescent="0.25">
      <c r="A63" s="80">
        <f t="shared" si="0"/>
        <v>61</v>
      </c>
      <c r="B63" s="83">
        <v>1.2317482637601129</v>
      </c>
      <c r="C63" s="84">
        <v>-0.21531848505768642</v>
      </c>
      <c r="D63" s="85">
        <v>-0.28384829808252743</v>
      </c>
      <c r="J63" s="2"/>
      <c r="K63" s="2"/>
      <c r="L63" s="100"/>
      <c r="M63" s="101"/>
      <c r="N63" s="102"/>
    </row>
    <row r="64" spans="1:14" x14ac:dyDescent="0.25">
      <c r="A64" s="80">
        <f t="shared" si="0"/>
        <v>62</v>
      </c>
      <c r="B64" s="83">
        <v>0.52691183817809284</v>
      </c>
      <c r="C64" s="84">
        <v>-6.1815658956578194E-2</v>
      </c>
      <c r="D64" s="85">
        <v>0.22841249046492634</v>
      </c>
      <c r="J64" s="2"/>
      <c r="K64" s="2"/>
      <c r="L64" s="100"/>
      <c r="M64" s="101"/>
      <c r="N64" s="102"/>
    </row>
    <row r="65" spans="1:14" x14ac:dyDescent="0.25">
      <c r="A65" s="80">
        <f t="shared" si="0"/>
        <v>63</v>
      </c>
      <c r="B65" s="83">
        <v>0.16829842869428097</v>
      </c>
      <c r="C65" s="84">
        <v>0.70944112926039193</v>
      </c>
      <c r="D65" s="85">
        <v>-0.10563341985049411</v>
      </c>
      <c r="J65" s="2"/>
      <c r="K65" s="2"/>
      <c r="L65" s="100"/>
      <c r="M65" s="101"/>
      <c r="N65" s="102"/>
    </row>
    <row r="66" spans="1:14" x14ac:dyDescent="0.25">
      <c r="A66" s="80">
        <f t="shared" si="0"/>
        <v>64</v>
      </c>
      <c r="B66" s="83">
        <v>0.86111574243016653</v>
      </c>
      <c r="C66" s="84">
        <v>-0.37700051592475947</v>
      </c>
      <c r="D66" s="85">
        <v>1.2359421114523084</v>
      </c>
      <c r="J66" s="2"/>
      <c r="K66" s="2"/>
      <c r="L66" s="100"/>
      <c r="M66" s="101"/>
      <c r="N66" s="102"/>
    </row>
    <row r="67" spans="1:14" x14ac:dyDescent="0.25">
      <c r="A67" s="80">
        <f t="shared" si="0"/>
        <v>65</v>
      </c>
      <c r="B67" s="83">
        <v>-0.89809770799558852</v>
      </c>
      <c r="C67" s="84">
        <v>1.0331773030388856</v>
      </c>
      <c r="D67" s="85">
        <v>0.27588271549796622</v>
      </c>
      <c r="J67" s="2"/>
      <c r="K67" s="2"/>
      <c r="L67" s="100"/>
      <c r="M67" s="101"/>
      <c r="N67" s="102"/>
    </row>
    <row r="68" spans="1:14" x14ac:dyDescent="0.25">
      <c r="A68" s="80">
        <f t="shared" si="0"/>
        <v>66</v>
      </c>
      <c r="B68" s="83">
        <v>0.12432239767597418</v>
      </c>
      <c r="C68" s="84">
        <v>0.65835303893364128</v>
      </c>
      <c r="D68" s="85">
        <v>-0.15516238994922082</v>
      </c>
      <c r="J68" s="2"/>
      <c r="K68" s="2"/>
      <c r="L68" s="100"/>
      <c r="M68" s="101"/>
      <c r="N68" s="102"/>
    </row>
    <row r="69" spans="1:14" x14ac:dyDescent="0.25">
      <c r="A69" s="80">
        <f t="shared" ref="A69:A132" si="1">A68+1</f>
        <v>67</v>
      </c>
      <c r="B69" s="83">
        <v>3.0325196441386177</v>
      </c>
      <c r="C69" s="84">
        <v>1.4937554818844945</v>
      </c>
      <c r="D69" s="85">
        <v>1.8545644719018741</v>
      </c>
      <c r="J69" s="2"/>
      <c r="K69" s="2"/>
      <c r="L69" s="100"/>
      <c r="M69" s="101"/>
      <c r="N69" s="102"/>
    </row>
    <row r="70" spans="1:14" x14ac:dyDescent="0.25">
      <c r="A70" s="80">
        <f t="shared" si="1"/>
        <v>68</v>
      </c>
      <c r="B70" s="83">
        <v>-1.3162623614625772</v>
      </c>
      <c r="C70" s="84">
        <v>-0.52168237082605406</v>
      </c>
      <c r="D70" s="85">
        <v>-1.7525999348144761</v>
      </c>
      <c r="J70" s="2"/>
      <c r="K70" s="2"/>
      <c r="L70" s="100"/>
      <c r="M70" s="101"/>
      <c r="N70" s="102"/>
    </row>
    <row r="71" spans="1:14" x14ac:dyDescent="0.25">
      <c r="A71" s="80">
        <f t="shared" si="1"/>
        <v>69</v>
      </c>
      <c r="B71" s="83">
        <v>-1.4067415162500845</v>
      </c>
      <c r="C71" s="84">
        <v>-1.5386867420175474</v>
      </c>
      <c r="D71" s="85">
        <v>-1.601157577385796</v>
      </c>
      <c r="J71" s="2"/>
      <c r="K71" s="2"/>
      <c r="L71" s="100"/>
      <c r="M71" s="101"/>
      <c r="N71" s="102"/>
    </row>
    <row r="72" spans="1:14" x14ac:dyDescent="0.25">
      <c r="A72" s="80">
        <f t="shared" si="1"/>
        <v>70</v>
      </c>
      <c r="B72" s="83">
        <v>-1.2461785604098594</v>
      </c>
      <c r="C72" s="84">
        <v>-0.53796940069597454</v>
      </c>
      <c r="D72" s="85">
        <v>-0.3606022694932956</v>
      </c>
      <c r="J72" s="2"/>
      <c r="K72" s="2"/>
      <c r="L72" s="100"/>
      <c r="M72" s="101"/>
      <c r="N72" s="102"/>
    </row>
    <row r="73" spans="1:14" x14ac:dyDescent="0.25">
      <c r="A73" s="80">
        <f t="shared" si="1"/>
        <v>71</v>
      </c>
      <c r="B73" s="83">
        <v>0.14607351608628538</v>
      </c>
      <c r="C73" s="84">
        <v>-0.65597337491773966</v>
      </c>
      <c r="D73" s="85">
        <v>-7.6816590051198286E-2</v>
      </c>
      <c r="J73" s="2"/>
      <c r="K73" s="2"/>
      <c r="L73" s="100"/>
      <c r="M73" s="101"/>
      <c r="N73" s="102"/>
    </row>
    <row r="74" spans="1:14" x14ac:dyDescent="0.25">
      <c r="A74" s="80">
        <f t="shared" si="1"/>
        <v>72</v>
      </c>
      <c r="B74" s="83">
        <v>-1.0220260761624946</v>
      </c>
      <c r="C74" s="84">
        <v>-1.103059734239386</v>
      </c>
      <c r="D74" s="85">
        <v>-1.0687275598872423</v>
      </c>
      <c r="J74" s="2"/>
      <c r="K74" s="2"/>
      <c r="L74" s="100"/>
      <c r="M74" s="101"/>
      <c r="N74" s="102"/>
    </row>
    <row r="75" spans="1:14" x14ac:dyDescent="0.25">
      <c r="A75" s="80">
        <f t="shared" si="1"/>
        <v>73</v>
      </c>
      <c r="B75" s="83">
        <v>-0.27724905422970714</v>
      </c>
      <c r="C75" s="84">
        <v>0.86280865607980306</v>
      </c>
      <c r="D75" s="85">
        <v>0.59153646195381449</v>
      </c>
      <c r="J75" s="2"/>
      <c r="K75" s="2"/>
      <c r="L75" s="100"/>
      <c r="M75" s="101"/>
      <c r="N75" s="102"/>
    </row>
    <row r="76" spans="1:14" x14ac:dyDescent="0.25">
      <c r="A76" s="80">
        <f t="shared" si="1"/>
        <v>74</v>
      </c>
      <c r="B76" s="83">
        <v>0.92391645976249659</v>
      </c>
      <c r="C76" s="84">
        <v>-0.46998176596236901</v>
      </c>
      <c r="D76" s="85">
        <v>5.6889458853833091E-2</v>
      </c>
      <c r="J76" s="2"/>
      <c r="K76" s="2"/>
      <c r="L76" s="100"/>
      <c r="M76" s="101"/>
      <c r="N76" s="102"/>
    </row>
    <row r="77" spans="1:14" x14ac:dyDescent="0.25">
      <c r="A77" s="80">
        <f t="shared" si="1"/>
        <v>75</v>
      </c>
      <c r="B77" s="83">
        <v>0.6044293942185327</v>
      </c>
      <c r="C77" s="84">
        <v>1.2905136235565211</v>
      </c>
      <c r="D77" s="85">
        <v>0.27899038810996885</v>
      </c>
      <c r="J77" s="2"/>
      <c r="K77" s="2"/>
      <c r="L77" s="100"/>
      <c r="M77" s="101"/>
      <c r="N77" s="102"/>
    </row>
    <row r="78" spans="1:14" x14ac:dyDescent="0.25">
      <c r="A78" s="80">
        <f t="shared" si="1"/>
        <v>76</v>
      </c>
      <c r="B78" s="83">
        <v>-0.15895095939834647</v>
      </c>
      <c r="C78" s="84">
        <v>2.0990291891315609</v>
      </c>
      <c r="D78" s="85">
        <v>0.21319097055953418</v>
      </c>
      <c r="J78" s="2"/>
      <c r="K78" s="2"/>
      <c r="L78" s="100"/>
      <c r="M78" s="101"/>
      <c r="N78" s="102"/>
    </row>
    <row r="79" spans="1:14" x14ac:dyDescent="0.25">
      <c r="A79" s="80">
        <f t="shared" si="1"/>
        <v>77</v>
      </c>
      <c r="B79" s="83">
        <v>0.93975268829032232</v>
      </c>
      <c r="C79" s="84">
        <v>0.97899796049276444</v>
      </c>
      <c r="D79" s="85">
        <v>0.70446855120556784</v>
      </c>
      <c r="J79" s="2"/>
      <c r="K79" s="2"/>
      <c r="L79" s="100"/>
      <c r="M79" s="101"/>
      <c r="N79" s="102"/>
    </row>
    <row r="80" spans="1:14" x14ac:dyDescent="0.25">
      <c r="A80" s="80">
        <f t="shared" si="1"/>
        <v>78</v>
      </c>
      <c r="B80" s="83">
        <v>0.14506900107011209</v>
      </c>
      <c r="C80" s="84">
        <v>1.0129049323261434</v>
      </c>
      <c r="D80" s="85">
        <v>-1.608164219218124E-2</v>
      </c>
      <c r="J80" s="2"/>
      <c r="K80" s="2"/>
      <c r="L80" s="100"/>
      <c r="M80" s="101"/>
      <c r="N80" s="102"/>
    </row>
    <row r="81" spans="1:14" x14ac:dyDescent="0.25">
      <c r="A81" s="80">
        <f t="shared" si="1"/>
        <v>79</v>
      </c>
      <c r="B81" s="83">
        <v>0.58061006635274381</v>
      </c>
      <c r="C81" s="84">
        <v>1.5128161144916199</v>
      </c>
      <c r="D81" s="85">
        <v>0.89419784456628915</v>
      </c>
      <c r="J81" s="2"/>
      <c r="K81" s="2"/>
      <c r="L81" s="100"/>
      <c r="M81" s="101"/>
      <c r="N81" s="102"/>
    </row>
    <row r="82" spans="1:14" x14ac:dyDescent="0.25">
      <c r="A82" s="80">
        <f t="shared" si="1"/>
        <v>80</v>
      </c>
      <c r="B82" s="83">
        <v>1.3380378939916651</v>
      </c>
      <c r="C82" s="84">
        <v>0.85372758639597024</v>
      </c>
      <c r="D82" s="85">
        <v>0.97374915348783642</v>
      </c>
      <c r="J82" s="2"/>
      <c r="K82" s="2"/>
      <c r="L82" s="100"/>
      <c r="M82" s="101"/>
      <c r="N82" s="102"/>
    </row>
    <row r="83" spans="1:14" x14ac:dyDescent="0.25">
      <c r="A83" s="80">
        <f t="shared" si="1"/>
        <v>81</v>
      </c>
      <c r="B83" s="83">
        <v>-0.84556663296572288</v>
      </c>
      <c r="C83" s="84">
        <v>-0.17170380094560392</v>
      </c>
      <c r="D83" s="85">
        <v>-0.98539032463070397</v>
      </c>
      <c r="J83" s="2"/>
      <c r="K83" s="2"/>
      <c r="L83" s="100"/>
      <c r="M83" s="101"/>
      <c r="N83" s="102"/>
    </row>
    <row r="84" spans="1:14" x14ac:dyDescent="0.25">
      <c r="A84" s="80">
        <f t="shared" si="1"/>
        <v>82</v>
      </c>
      <c r="B84" s="83">
        <v>1.9765682719249034</v>
      </c>
      <c r="C84" s="84">
        <v>0.86218317930310751</v>
      </c>
      <c r="D84" s="85">
        <v>1.1306082217335189</v>
      </c>
      <c r="J84" s="2"/>
      <c r="K84" s="2"/>
      <c r="L84" s="100"/>
      <c r="M84" s="101"/>
      <c r="N84" s="102"/>
    </row>
    <row r="85" spans="1:14" x14ac:dyDescent="0.25">
      <c r="A85" s="80">
        <f t="shared" si="1"/>
        <v>83</v>
      </c>
      <c r="B85" s="83">
        <v>-1.0223099749611868</v>
      </c>
      <c r="C85" s="84">
        <v>-1.3216321020271524</v>
      </c>
      <c r="D85" s="85">
        <v>-1.0258950751421327</v>
      </c>
      <c r="J85" s="2"/>
      <c r="K85" s="2"/>
      <c r="L85" s="100"/>
      <c r="M85" s="101"/>
      <c r="N85" s="102"/>
    </row>
    <row r="86" spans="1:14" x14ac:dyDescent="0.25">
      <c r="A86" s="80">
        <f t="shared" si="1"/>
        <v>84</v>
      </c>
      <c r="B86" s="83">
        <v>-1.3851297163609531</v>
      </c>
      <c r="C86" s="84">
        <v>-2.3027294106129372</v>
      </c>
      <c r="D86" s="85">
        <v>-1.13844960099977</v>
      </c>
      <c r="J86" s="2"/>
      <c r="K86" s="2"/>
      <c r="L86" s="100"/>
      <c r="M86" s="101"/>
      <c r="N86" s="102"/>
    </row>
    <row r="87" spans="1:14" x14ac:dyDescent="0.25">
      <c r="A87" s="80">
        <f t="shared" si="1"/>
        <v>85</v>
      </c>
      <c r="B87" s="83">
        <v>0.90529578972812685</v>
      </c>
      <c r="C87" s="84">
        <v>0.13415135089757341</v>
      </c>
      <c r="D87" s="85">
        <v>0.24048953744726495</v>
      </c>
      <c r="J87" s="2"/>
      <c r="K87" s="2"/>
      <c r="L87" s="100"/>
      <c r="M87" s="101"/>
      <c r="N87" s="102"/>
    </row>
    <row r="88" spans="1:14" x14ac:dyDescent="0.25">
      <c r="A88" s="80">
        <f t="shared" si="1"/>
        <v>86</v>
      </c>
      <c r="B88" s="83">
        <v>0.71313414511553552</v>
      </c>
      <c r="C88" s="84">
        <v>0.53458440627202053</v>
      </c>
      <c r="D88" s="85">
        <v>0.29844325084370704</v>
      </c>
      <c r="J88" s="2"/>
      <c r="K88" s="2"/>
      <c r="L88" s="100"/>
      <c r="M88" s="101"/>
      <c r="N88" s="102"/>
    </row>
    <row r="89" spans="1:14" x14ac:dyDescent="0.25">
      <c r="A89" s="80">
        <f t="shared" si="1"/>
        <v>87</v>
      </c>
      <c r="B89" s="83">
        <v>0.64533285784292482</v>
      </c>
      <c r="C89" s="84">
        <v>0.21210063567620854</v>
      </c>
      <c r="D89" s="85">
        <v>0.26018107180801631</v>
      </c>
      <c r="J89" s="2"/>
      <c r="K89" s="2"/>
      <c r="L89" s="100"/>
      <c r="M89" s="101"/>
      <c r="N89" s="102"/>
    </row>
    <row r="90" spans="1:14" x14ac:dyDescent="0.25">
      <c r="A90" s="80">
        <f t="shared" si="1"/>
        <v>88</v>
      </c>
      <c r="B90" s="83">
        <v>-0.16049081307056196</v>
      </c>
      <c r="C90" s="84">
        <v>-1.3016816150544051</v>
      </c>
      <c r="D90" s="85">
        <v>-0.2643869303231472</v>
      </c>
      <c r="J90" s="2"/>
      <c r="K90" s="2"/>
      <c r="L90" s="100"/>
      <c r="M90" s="101"/>
      <c r="N90" s="102"/>
    </row>
    <row r="91" spans="1:14" x14ac:dyDescent="0.25">
      <c r="A91" s="80">
        <f t="shared" si="1"/>
        <v>89</v>
      </c>
      <c r="B91" s="83">
        <v>-0.4119731666305198</v>
      </c>
      <c r="C91" s="84">
        <v>-2.0848198179520279</v>
      </c>
      <c r="D91" s="85">
        <v>-0.10676254516226714</v>
      </c>
      <c r="J91" s="2"/>
      <c r="K91" s="2"/>
      <c r="L91" s="100"/>
      <c r="M91" s="101"/>
      <c r="N91" s="102"/>
    </row>
    <row r="92" spans="1:14" x14ac:dyDescent="0.25">
      <c r="A92" s="80">
        <f t="shared" si="1"/>
        <v>90</v>
      </c>
      <c r="B92" s="83">
        <v>0.71510849938192156</v>
      </c>
      <c r="C92" s="84">
        <v>1.0295638515354104</v>
      </c>
      <c r="D92" s="85">
        <v>1.3819489140014933</v>
      </c>
      <c r="J92" s="2"/>
      <c r="K92" s="2"/>
      <c r="L92" s="100"/>
      <c r="M92" s="101"/>
      <c r="N92" s="102"/>
    </row>
    <row r="93" spans="1:14" x14ac:dyDescent="0.25">
      <c r="A93" s="80">
        <f t="shared" si="1"/>
        <v>91</v>
      </c>
      <c r="B93" s="83">
        <v>-0.63791337800674319</v>
      </c>
      <c r="C93" s="84">
        <v>0.8378695070763843</v>
      </c>
      <c r="D93" s="85">
        <v>-0.91262553046294803</v>
      </c>
      <c r="J93" s="2"/>
      <c r="K93" s="2"/>
      <c r="L93" s="100"/>
      <c r="M93" s="101"/>
      <c r="N93" s="102"/>
    </row>
    <row r="94" spans="1:14" x14ac:dyDescent="0.25">
      <c r="A94" s="80">
        <f t="shared" si="1"/>
        <v>92</v>
      </c>
      <c r="B94" s="83">
        <v>0.53934903402088841</v>
      </c>
      <c r="C94" s="84">
        <v>-0.28637188253165702</v>
      </c>
      <c r="D94" s="85">
        <v>1.7774293953957048</v>
      </c>
      <c r="J94" s="2"/>
      <c r="K94" s="2"/>
      <c r="L94" s="100"/>
      <c r="M94" s="101"/>
      <c r="N94" s="102"/>
    </row>
    <row r="95" spans="1:14" x14ac:dyDescent="0.25">
      <c r="A95" s="80">
        <f t="shared" si="1"/>
        <v>93</v>
      </c>
      <c r="B95" s="83">
        <v>4.6818655633711542E-2</v>
      </c>
      <c r="C95" s="84">
        <v>-0.36802304492214749</v>
      </c>
      <c r="D95" s="85">
        <v>-5.9589452821400095E-2</v>
      </c>
      <c r="J95" s="2"/>
      <c r="K95" s="2"/>
      <c r="L95" s="100"/>
      <c r="M95" s="101"/>
      <c r="N95" s="102"/>
    </row>
    <row r="96" spans="1:14" x14ac:dyDescent="0.25">
      <c r="A96" s="80">
        <f t="shared" si="1"/>
        <v>94</v>
      </c>
      <c r="B96" s="83">
        <v>3.4661905996198747</v>
      </c>
      <c r="C96" s="84">
        <v>2.8427134098022451E-2</v>
      </c>
      <c r="D96" s="85">
        <v>2.425849321198887</v>
      </c>
      <c r="J96" s="2"/>
      <c r="K96" s="2"/>
      <c r="L96" s="100"/>
      <c r="M96" s="101"/>
      <c r="N96" s="102"/>
    </row>
    <row r="97" spans="1:14" x14ac:dyDescent="0.25">
      <c r="A97" s="80">
        <f t="shared" si="1"/>
        <v>95</v>
      </c>
      <c r="B97" s="83">
        <v>-0.38072487487461998</v>
      </c>
      <c r="C97" s="84">
        <v>5.4364026499314134E-2</v>
      </c>
      <c r="D97" s="85">
        <v>-0.74245842763194436</v>
      </c>
      <c r="J97" s="2"/>
      <c r="K97" s="2"/>
      <c r="L97" s="100"/>
      <c r="M97" s="101"/>
      <c r="N97" s="102"/>
    </row>
    <row r="98" spans="1:14" x14ac:dyDescent="0.25">
      <c r="A98" s="80">
        <f t="shared" si="1"/>
        <v>96</v>
      </c>
      <c r="B98" s="83">
        <v>0.11359898505644372</v>
      </c>
      <c r="C98" s="84">
        <v>0.87660096585561487</v>
      </c>
      <c r="D98" s="85">
        <v>0.74726974009343983</v>
      </c>
      <c r="J98" s="2"/>
      <c r="K98" s="2"/>
      <c r="L98" s="100"/>
      <c r="M98" s="101"/>
      <c r="N98" s="102"/>
    </row>
    <row r="99" spans="1:14" x14ac:dyDescent="0.25">
      <c r="A99" s="80">
        <f t="shared" si="1"/>
        <v>97</v>
      </c>
      <c r="B99" s="83">
        <v>2.6106859201236565</v>
      </c>
      <c r="C99" s="84">
        <v>-0.56930142403146944</v>
      </c>
      <c r="D99" s="85">
        <v>7.1885847698468215</v>
      </c>
      <c r="J99" s="2"/>
      <c r="K99" s="2"/>
      <c r="L99" s="100"/>
      <c r="M99" s="101"/>
      <c r="N99" s="102"/>
    </row>
    <row r="100" spans="1:14" x14ac:dyDescent="0.25">
      <c r="A100" s="80">
        <f t="shared" si="1"/>
        <v>98</v>
      </c>
      <c r="B100" s="83">
        <v>2.5275162446226962</v>
      </c>
      <c r="C100" s="84">
        <v>-5.5673009147814069E-2</v>
      </c>
      <c r="D100" s="85">
        <v>1.4907495773761916</v>
      </c>
      <c r="J100" s="2"/>
      <c r="K100" s="2"/>
      <c r="L100" s="100"/>
      <c r="M100" s="101"/>
      <c r="N100" s="102"/>
    </row>
    <row r="101" spans="1:14" x14ac:dyDescent="0.25">
      <c r="A101" s="80">
        <f t="shared" si="1"/>
        <v>99</v>
      </c>
      <c r="B101" s="83">
        <v>-2.5200212905955315</v>
      </c>
      <c r="C101" s="84">
        <v>-2.4294270908036504</v>
      </c>
      <c r="D101" s="85">
        <v>-3.2104126720025108</v>
      </c>
      <c r="J101" s="2"/>
      <c r="K101" s="2"/>
      <c r="L101" s="100"/>
      <c r="M101" s="101"/>
      <c r="N101" s="102"/>
    </row>
    <row r="102" spans="1:14" x14ac:dyDescent="0.25">
      <c r="A102" s="80">
        <f t="shared" si="1"/>
        <v>100</v>
      </c>
      <c r="B102" s="83">
        <v>-1.8503075683510717</v>
      </c>
      <c r="C102" s="84">
        <v>-1.0190412253974963</v>
      </c>
      <c r="D102" s="85">
        <v>-1.9896697175514066</v>
      </c>
      <c r="J102" s="2"/>
      <c r="K102" s="2"/>
      <c r="L102" s="100"/>
      <c r="M102" s="101"/>
      <c r="N102" s="102"/>
    </row>
    <row r="103" spans="1:14" x14ac:dyDescent="0.25">
      <c r="A103" s="80">
        <f t="shared" si="1"/>
        <v>101</v>
      </c>
      <c r="B103" s="83">
        <v>-0.68637132392934097</v>
      </c>
      <c r="C103" s="84">
        <v>-0.20450080075053678</v>
      </c>
      <c r="D103" s="85">
        <v>-1.4740532627323182</v>
      </c>
      <c r="J103" s="2"/>
      <c r="K103" s="2"/>
      <c r="L103" s="100"/>
      <c r="M103" s="101"/>
      <c r="N103" s="102"/>
    </row>
    <row r="104" spans="1:14" x14ac:dyDescent="0.25">
      <c r="A104" s="80">
        <f t="shared" si="1"/>
        <v>102</v>
      </c>
      <c r="B104" s="83">
        <v>-1.705625573033926</v>
      </c>
      <c r="C104" s="84">
        <v>1.7596959855137004</v>
      </c>
      <c r="D104" s="85">
        <v>-2.5808617259172801</v>
      </c>
      <c r="J104" s="2"/>
      <c r="K104" s="2"/>
      <c r="L104" s="100"/>
      <c r="M104" s="101"/>
      <c r="N104" s="102"/>
    </row>
    <row r="105" spans="1:14" x14ac:dyDescent="0.25">
      <c r="A105" s="80">
        <f t="shared" si="1"/>
        <v>103</v>
      </c>
      <c r="B105" s="83">
        <v>-2.3651843829339696</v>
      </c>
      <c r="C105" s="84">
        <v>-1.0966771374159918</v>
      </c>
      <c r="D105" s="85">
        <v>-1.409180682141943</v>
      </c>
      <c r="J105" s="2"/>
      <c r="K105" s="2"/>
      <c r="L105" s="100"/>
      <c r="M105" s="101"/>
      <c r="N105" s="102"/>
    </row>
    <row r="106" spans="1:14" x14ac:dyDescent="0.25">
      <c r="A106" s="80">
        <f t="shared" si="1"/>
        <v>104</v>
      </c>
      <c r="B106" s="83">
        <v>-1.2409479289710348</v>
      </c>
      <c r="C106" s="84">
        <v>-0.74890836541377814</v>
      </c>
      <c r="D106" s="85">
        <v>-0.57340820115843094</v>
      </c>
      <c r="J106" s="2"/>
      <c r="K106" s="2"/>
      <c r="L106" s="100"/>
      <c r="M106" s="101"/>
      <c r="N106" s="102"/>
    </row>
    <row r="107" spans="1:14" x14ac:dyDescent="0.25">
      <c r="A107" s="80">
        <f t="shared" si="1"/>
        <v>105</v>
      </c>
      <c r="B107" s="83">
        <v>0.46203696149491918</v>
      </c>
      <c r="C107" s="84">
        <v>-0.1218875443617405</v>
      </c>
      <c r="D107" s="85">
        <v>9.4329500509864037E-2</v>
      </c>
      <c r="J107" s="2"/>
      <c r="K107" s="2"/>
      <c r="L107" s="100"/>
      <c r="M107" s="101"/>
      <c r="N107" s="102"/>
    </row>
    <row r="108" spans="1:14" x14ac:dyDescent="0.25">
      <c r="A108" s="80">
        <f t="shared" si="1"/>
        <v>106</v>
      </c>
      <c r="B108" s="83">
        <v>0.63023508322754029</v>
      </c>
      <c r="C108" s="84">
        <v>-1.993074498228858</v>
      </c>
      <c r="D108" s="85">
        <v>-0.47792220888128145</v>
      </c>
      <c r="J108" s="2"/>
      <c r="K108" s="2"/>
      <c r="L108" s="100"/>
      <c r="M108" s="101"/>
      <c r="N108" s="102"/>
    </row>
    <row r="109" spans="1:14" x14ac:dyDescent="0.25">
      <c r="A109" s="80">
        <f t="shared" si="1"/>
        <v>107</v>
      </c>
      <c r="B109" s="83">
        <v>-1.4954333029499272</v>
      </c>
      <c r="C109" s="84">
        <v>-0.27111393455919169</v>
      </c>
      <c r="D109" s="85">
        <v>-1.1283613186279289</v>
      </c>
      <c r="J109" s="2"/>
      <c r="K109" s="2"/>
      <c r="L109" s="100"/>
      <c r="M109" s="101"/>
      <c r="N109" s="102"/>
    </row>
    <row r="110" spans="1:14" x14ac:dyDescent="0.25">
      <c r="A110" s="80">
        <f t="shared" si="1"/>
        <v>108</v>
      </c>
      <c r="B110" s="83">
        <v>0.32080907819881055</v>
      </c>
      <c r="C110" s="84">
        <v>-1.0208465379303808</v>
      </c>
      <c r="D110" s="85">
        <v>-5.5055460730466334E-2</v>
      </c>
      <c r="J110" s="2"/>
      <c r="K110" s="2"/>
      <c r="L110" s="100"/>
      <c r="M110" s="101"/>
      <c r="N110" s="102"/>
    </row>
    <row r="111" spans="1:14" x14ac:dyDescent="0.25">
      <c r="A111" s="80">
        <f t="shared" si="1"/>
        <v>109</v>
      </c>
      <c r="B111" s="83">
        <v>1.0680841418198857E-2</v>
      </c>
      <c r="C111" s="84">
        <v>2.0343866627146014</v>
      </c>
      <c r="D111" s="85">
        <v>0.62179033937218686</v>
      </c>
      <c r="J111" s="2"/>
      <c r="K111" s="2"/>
      <c r="L111" s="100"/>
      <c r="M111" s="101"/>
      <c r="N111" s="102"/>
    </row>
    <row r="112" spans="1:14" x14ac:dyDescent="0.25">
      <c r="A112" s="80">
        <f t="shared" si="1"/>
        <v>110</v>
      </c>
      <c r="B112" s="83">
        <v>-0.53855637513529153</v>
      </c>
      <c r="C112" s="84">
        <v>-0.71794242160502675</v>
      </c>
      <c r="D112" s="85">
        <v>-0.19745872457536584</v>
      </c>
      <c r="J112" s="2"/>
      <c r="K112" s="2"/>
      <c r="L112" s="100"/>
      <c r="M112" s="101"/>
      <c r="N112" s="102"/>
    </row>
    <row r="113" spans="1:14" x14ac:dyDescent="0.25">
      <c r="A113" s="80">
        <f t="shared" si="1"/>
        <v>111</v>
      </c>
      <c r="B113" s="83">
        <v>-0.83574278386504197</v>
      </c>
      <c r="C113" s="84">
        <v>0.3030505131500385</v>
      </c>
      <c r="D113" s="85">
        <v>-0.30534210780020771</v>
      </c>
      <c r="J113" s="2"/>
      <c r="K113" s="2"/>
      <c r="L113" s="100"/>
      <c r="M113" s="101"/>
      <c r="N113" s="102"/>
    </row>
    <row r="114" spans="1:14" x14ac:dyDescent="0.25">
      <c r="A114" s="80">
        <f t="shared" si="1"/>
        <v>112</v>
      </c>
      <c r="B114" s="83">
        <v>-1.1971776215407672</v>
      </c>
      <c r="C114" s="84">
        <v>-1.9482516614457099</v>
      </c>
      <c r="D114" s="85">
        <v>-0.26635969730997305</v>
      </c>
      <c r="J114" s="2"/>
      <c r="K114" s="2"/>
      <c r="L114" s="100"/>
      <c r="M114" s="101"/>
      <c r="N114" s="102"/>
    </row>
    <row r="115" spans="1:14" x14ac:dyDescent="0.25">
      <c r="A115" s="80">
        <f t="shared" si="1"/>
        <v>113</v>
      </c>
      <c r="B115" s="83">
        <v>0.14030632070420573</v>
      </c>
      <c r="C115" s="84">
        <v>0.97103188934046381</v>
      </c>
      <c r="D115" s="85">
        <v>-0.51452836381218547</v>
      </c>
      <c r="J115" s="2"/>
      <c r="K115" s="2"/>
      <c r="L115" s="100"/>
      <c r="M115" s="101"/>
      <c r="N115" s="102"/>
    </row>
    <row r="116" spans="1:14" x14ac:dyDescent="0.25">
      <c r="A116" s="80">
        <f t="shared" si="1"/>
        <v>114</v>
      </c>
      <c r="B116" s="83">
        <v>-1.2824937377185526</v>
      </c>
      <c r="C116" s="84">
        <v>-0.69795902581984626</v>
      </c>
      <c r="D116" s="85">
        <v>-0.66471332158946084</v>
      </c>
      <c r="J116" s="2"/>
      <c r="K116" s="2"/>
      <c r="L116" s="100"/>
      <c r="M116" s="101"/>
      <c r="N116" s="102"/>
    </row>
    <row r="117" spans="1:14" x14ac:dyDescent="0.25">
      <c r="A117" s="80">
        <f t="shared" si="1"/>
        <v>115</v>
      </c>
      <c r="B117" s="83">
        <v>-0.35037156293537342</v>
      </c>
      <c r="C117" s="84">
        <v>-0.25095704117450779</v>
      </c>
      <c r="D117" s="85">
        <v>0.26787589034462311</v>
      </c>
      <c r="J117" s="2"/>
      <c r="K117" s="2"/>
      <c r="L117" s="100"/>
      <c r="M117" s="101"/>
      <c r="N117" s="102"/>
    </row>
    <row r="118" spans="1:14" x14ac:dyDescent="0.25">
      <c r="A118" s="80">
        <f t="shared" si="1"/>
        <v>116</v>
      </c>
      <c r="B118" s="83">
        <v>0.23919085540553159</v>
      </c>
      <c r="C118" s="84">
        <v>1.5901400337981682</v>
      </c>
      <c r="D118" s="85">
        <v>5.5337630666434434E-2</v>
      </c>
      <c r="J118" s="2"/>
      <c r="K118" s="2"/>
      <c r="L118" s="100"/>
      <c r="M118" s="101"/>
      <c r="N118" s="102"/>
    </row>
    <row r="119" spans="1:14" x14ac:dyDescent="0.25">
      <c r="A119" s="80">
        <f t="shared" si="1"/>
        <v>117</v>
      </c>
      <c r="B119" s="83">
        <v>-0.65562704782196723</v>
      </c>
      <c r="C119" s="84">
        <v>0.11869687719983561</v>
      </c>
      <c r="D119" s="85">
        <v>-0.26442949386699477</v>
      </c>
      <c r="J119" s="2"/>
      <c r="K119" s="2"/>
      <c r="L119" s="100"/>
      <c r="M119" s="101"/>
      <c r="N119" s="102"/>
    </row>
    <row r="120" spans="1:14" x14ac:dyDescent="0.25">
      <c r="A120" s="80">
        <f t="shared" si="1"/>
        <v>118</v>
      </c>
      <c r="B120" s="83">
        <v>-0.16468161161759312</v>
      </c>
      <c r="C120" s="84">
        <v>0.20081656016237678</v>
      </c>
      <c r="D120" s="85">
        <v>-0.24156637649727897</v>
      </c>
      <c r="J120" s="2"/>
      <c r="K120" s="2"/>
      <c r="L120" s="100"/>
      <c r="M120" s="101"/>
      <c r="N120" s="102"/>
    </row>
    <row r="121" spans="1:14" x14ac:dyDescent="0.25">
      <c r="A121" s="80">
        <f t="shared" si="1"/>
        <v>119</v>
      </c>
      <c r="B121" s="83">
        <v>-0.21032545614241416</v>
      </c>
      <c r="C121" s="84">
        <v>6.4267508746008936E-2</v>
      </c>
      <c r="D121" s="85">
        <v>-0.23878157905383252</v>
      </c>
      <c r="J121" s="2"/>
      <c r="K121" s="2"/>
      <c r="L121" s="100"/>
      <c r="M121" s="101"/>
      <c r="N121" s="102"/>
    </row>
    <row r="122" spans="1:14" x14ac:dyDescent="0.25">
      <c r="A122" s="80">
        <f t="shared" si="1"/>
        <v>120</v>
      </c>
      <c r="B122" s="83">
        <v>0.41603129333351407</v>
      </c>
      <c r="C122" s="84">
        <v>1.0023694152536569</v>
      </c>
      <c r="D122" s="85">
        <v>3.4573609948145803E-2</v>
      </c>
      <c r="J122" s="2"/>
      <c r="K122" s="2"/>
      <c r="L122" s="100"/>
      <c r="M122" s="101"/>
      <c r="N122" s="102"/>
    </row>
    <row r="123" spans="1:14" x14ac:dyDescent="0.25">
      <c r="A123" s="80">
        <f t="shared" si="1"/>
        <v>121</v>
      </c>
      <c r="B123" s="83">
        <v>0.48039310932035079</v>
      </c>
      <c r="C123" s="84">
        <v>0.99848788941588562</v>
      </c>
      <c r="D123" s="85">
        <v>-0.32703833846885755</v>
      </c>
      <c r="J123" s="2"/>
      <c r="K123" s="2"/>
      <c r="L123" s="100"/>
      <c r="M123" s="101"/>
      <c r="N123" s="102"/>
    </row>
    <row r="124" spans="1:14" x14ac:dyDescent="0.25">
      <c r="A124" s="80">
        <f t="shared" si="1"/>
        <v>122</v>
      </c>
      <c r="B124" s="83">
        <v>0.69227634814069028</v>
      </c>
      <c r="C124" s="84">
        <v>1.0093702467276489</v>
      </c>
      <c r="D124" s="85">
        <v>0.34915204767735109</v>
      </c>
      <c r="J124" s="2"/>
      <c r="K124" s="2"/>
      <c r="L124" s="100"/>
      <c r="M124" s="101"/>
      <c r="N124" s="102"/>
    </row>
    <row r="125" spans="1:14" x14ac:dyDescent="0.25">
      <c r="A125" s="80">
        <f t="shared" si="1"/>
        <v>123</v>
      </c>
      <c r="B125" s="83">
        <v>-9.7934352568462821E-2</v>
      </c>
      <c r="C125" s="84">
        <v>-0.73105222831305772</v>
      </c>
      <c r="D125" s="85">
        <v>0.33238379229306514</v>
      </c>
      <c r="J125" s="2"/>
      <c r="K125" s="2"/>
      <c r="L125" s="100"/>
      <c r="M125" s="101"/>
      <c r="N125" s="102"/>
    </row>
    <row r="126" spans="1:14" x14ac:dyDescent="0.25">
      <c r="A126" s="80">
        <f t="shared" si="1"/>
        <v>124</v>
      </c>
      <c r="B126" s="83">
        <v>0.27395026260978073</v>
      </c>
      <c r="C126" s="84">
        <v>-0.82708669482477848</v>
      </c>
      <c r="D126" s="85">
        <v>0.22823944896743883</v>
      </c>
      <c r="J126" s="2"/>
      <c r="K126" s="2"/>
      <c r="L126" s="100"/>
      <c r="M126" s="101"/>
      <c r="N126" s="102"/>
    </row>
    <row r="127" spans="1:14" x14ac:dyDescent="0.25">
      <c r="A127" s="80">
        <f t="shared" si="1"/>
        <v>125</v>
      </c>
      <c r="B127" s="83">
        <v>-0.21538994658798455</v>
      </c>
      <c r="C127" s="84">
        <v>-0.16912586173214994</v>
      </c>
      <c r="D127" s="85">
        <v>-5.1803349546843437E-2</v>
      </c>
      <c r="J127" s="2"/>
      <c r="K127" s="2"/>
      <c r="L127" s="100"/>
      <c r="M127" s="101"/>
      <c r="N127" s="102"/>
    </row>
    <row r="128" spans="1:14" x14ac:dyDescent="0.25">
      <c r="A128" s="80">
        <f t="shared" si="1"/>
        <v>126</v>
      </c>
      <c r="B128" s="83">
        <v>-0.96652353500310439</v>
      </c>
      <c r="C128" s="84">
        <v>1.6000722666504534</v>
      </c>
      <c r="D128" s="85">
        <v>-0.26096257932174111</v>
      </c>
      <c r="J128" s="2"/>
      <c r="K128" s="2"/>
      <c r="L128" s="100"/>
      <c r="M128" s="101"/>
      <c r="N128" s="102"/>
    </row>
    <row r="129" spans="1:14" x14ac:dyDescent="0.25">
      <c r="A129" s="80">
        <f t="shared" si="1"/>
        <v>127</v>
      </c>
      <c r="B129" s="83">
        <v>8.9821918235663809E-2</v>
      </c>
      <c r="C129" s="84">
        <v>1.2622103689126072</v>
      </c>
      <c r="D129" s="85">
        <v>0.27154580769531972</v>
      </c>
      <c r="J129" s="2"/>
      <c r="K129" s="2"/>
      <c r="L129" s="100"/>
      <c r="M129" s="101"/>
      <c r="N129" s="102"/>
    </row>
    <row r="130" spans="1:14" x14ac:dyDescent="0.25">
      <c r="A130" s="80">
        <f t="shared" si="1"/>
        <v>128</v>
      </c>
      <c r="B130" s="83">
        <v>0.65504929102430287</v>
      </c>
      <c r="C130" s="84">
        <v>-0.2995455098764227</v>
      </c>
      <c r="D130" s="85">
        <v>0.1546286982107283</v>
      </c>
      <c r="J130" s="2"/>
      <c r="K130" s="2"/>
      <c r="L130" s="100"/>
      <c r="M130" s="101"/>
      <c r="N130" s="102"/>
    </row>
    <row r="131" spans="1:14" x14ac:dyDescent="0.25">
      <c r="A131" s="80">
        <f t="shared" si="1"/>
        <v>129</v>
      </c>
      <c r="B131" s="83">
        <v>0.34791528232923857</v>
      </c>
      <c r="C131" s="84">
        <v>-4.1596990571565559E-2</v>
      </c>
      <c r="D131" s="85">
        <v>0.72826631034239508</v>
      </c>
      <c r="J131" s="2"/>
      <c r="K131" s="2"/>
      <c r="L131" s="100"/>
      <c r="M131" s="101"/>
      <c r="N131" s="102"/>
    </row>
    <row r="132" spans="1:14" x14ac:dyDescent="0.25">
      <c r="A132" s="80">
        <f t="shared" si="1"/>
        <v>130</v>
      </c>
      <c r="B132" s="83">
        <v>-1.1736407548698693</v>
      </c>
      <c r="C132" s="84">
        <v>2.11543588398925</v>
      </c>
      <c r="D132" s="85">
        <v>-1.0317629631729679</v>
      </c>
      <c r="J132" s="2"/>
      <c r="K132" s="2"/>
      <c r="L132" s="100"/>
      <c r="M132" s="101"/>
      <c r="N132" s="102"/>
    </row>
    <row r="133" spans="1:14" x14ac:dyDescent="0.25">
      <c r="A133" s="80">
        <f>A132+1</f>
        <v>131</v>
      </c>
      <c r="B133" s="83">
        <v>0.17847897350728301</v>
      </c>
      <c r="C133" s="84">
        <v>3.6102623869271842E-2</v>
      </c>
      <c r="D133" s="85">
        <v>-0.19762193831369737</v>
      </c>
      <c r="J133" s="2"/>
      <c r="K133" s="2"/>
      <c r="L133" s="100"/>
      <c r="M133" s="101"/>
      <c r="N133" s="102"/>
    </row>
    <row r="134" spans="1:14" x14ac:dyDescent="0.25">
      <c r="A134" s="80">
        <f>A133+1</f>
        <v>132</v>
      </c>
      <c r="B134" s="83">
        <v>-0.69660481667707774</v>
      </c>
      <c r="C134" s="84">
        <v>-0.75261226588971208</v>
      </c>
      <c r="D134" s="85">
        <v>-0.25364963046519612</v>
      </c>
      <c r="J134" s="2"/>
      <c r="K134" s="2"/>
      <c r="L134" s="100"/>
      <c r="M134" s="101"/>
      <c r="N134" s="102"/>
    </row>
    <row r="135" spans="1:14" x14ac:dyDescent="0.25">
      <c r="A135" s="81">
        <f>A134+1</f>
        <v>133</v>
      </c>
      <c r="B135" s="86">
        <v>0.66661329831063731</v>
      </c>
      <c r="C135" s="87">
        <v>0.6636262058467095</v>
      </c>
      <c r="D135" s="88">
        <v>-0.10363244409518468</v>
      </c>
      <c r="J135" s="2"/>
      <c r="K135" s="2"/>
      <c r="L135" s="106"/>
      <c r="M135" s="41"/>
      <c r="N135" s="107"/>
    </row>
  </sheetData>
  <mergeCells count="1">
    <mergeCell ref="A1:D1"/>
  </mergeCells>
  <conditionalFormatting sqref="G7:I9">
    <cfRule type="cellIs" dxfId="4" priority="2" operator="notBetween">
      <formula>-$Q$18</formula>
      <formula>$Q$18</formula>
    </cfRule>
  </conditionalFormatting>
  <conditionalFormatting sqref="Q7:S9">
    <cfRule type="cellIs" dxfId="3" priority="1" operator="notBetween">
      <formula>-$Q$18</formula>
      <formula>$Q$18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35"/>
  <sheetViews>
    <sheetView showGridLines="0" topLeftCell="E1" zoomScaleNormal="100" workbookViewId="0">
      <selection activeCell="L10" sqref="L10"/>
    </sheetView>
  </sheetViews>
  <sheetFormatPr defaultRowHeight="13.2" x14ac:dyDescent="0.25"/>
  <cols>
    <col min="1" max="1" width="8.88671875" style="76"/>
    <col min="2" max="4" width="8" style="76" customWidth="1"/>
    <col min="6" max="6" width="14" customWidth="1"/>
    <col min="7" max="7" width="13" customWidth="1"/>
    <col min="8" max="9" width="14" customWidth="1"/>
    <col min="10" max="10" width="13.109375" bestFit="1" customWidth="1"/>
    <col min="11" max="11" width="13.109375" customWidth="1"/>
    <col min="12" max="15" width="9.109375" style="7" customWidth="1"/>
  </cols>
  <sheetData>
    <row r="1" spans="1:21" ht="16.2" thickBot="1" x14ac:dyDescent="0.4">
      <c r="A1" s="111" t="s">
        <v>21</v>
      </c>
      <c r="B1" s="112"/>
      <c r="C1" s="112"/>
      <c r="D1" s="112"/>
      <c r="F1" s="28">
        <f>COUNT(A:A)</f>
        <v>133</v>
      </c>
      <c r="G1" s="32" t="str">
        <f t="array" ref="G1:I1">B2:D2</f>
        <v>PPG</v>
      </c>
      <c r="H1" s="33" t="str">
        <v>EXXON</v>
      </c>
      <c r="I1" s="34" t="str">
        <v>DOW</v>
      </c>
      <c r="J1" s="29" t="s">
        <v>28</v>
      </c>
      <c r="L1" s="18" t="s">
        <v>20</v>
      </c>
      <c r="P1" s="28">
        <f>COUNT(L:L)</f>
        <v>133</v>
      </c>
      <c r="Q1" s="19" t="s">
        <v>22</v>
      </c>
      <c r="R1" s="19" t="s">
        <v>23</v>
      </c>
      <c r="S1" s="19" t="s">
        <v>24</v>
      </c>
      <c r="T1" s="29" t="s">
        <v>28</v>
      </c>
    </row>
    <row r="2" spans="1:21" ht="15.6" x14ac:dyDescent="0.35">
      <c r="A2" s="79" t="s">
        <v>35</v>
      </c>
      <c r="B2" s="82" t="s">
        <v>25</v>
      </c>
      <c r="C2" s="77" t="s">
        <v>26</v>
      </c>
      <c r="D2" s="78" t="s">
        <v>27</v>
      </c>
      <c r="F2" s="25" t="s">
        <v>5</v>
      </c>
      <c r="G2" s="21">
        <f>AVERAGE(B3:B135)</f>
        <v>-9.1822956923885122E-17</v>
      </c>
      <c r="H2" s="22">
        <f>AVERAGE(C3:C135)</f>
        <v>5.5093774154331073E-17</v>
      </c>
      <c r="I2" s="22">
        <f>AVERAGE(D3:D135)</f>
        <v>-3.0468526615652794E-17</v>
      </c>
      <c r="J2" s="31">
        <f>SUM(G2:I2)</f>
        <v>-6.7197709385206843E-17</v>
      </c>
      <c r="K2" s="2"/>
      <c r="L2" s="82" t="s">
        <v>22</v>
      </c>
      <c r="M2" s="77" t="s">
        <v>23</v>
      </c>
      <c r="N2" s="78" t="s">
        <v>24</v>
      </c>
      <c r="P2" s="25" t="s">
        <v>5</v>
      </c>
      <c r="Q2" s="21">
        <f>AVERAGE(L3:L135)</f>
        <v>-9.1822956923885122E-18</v>
      </c>
      <c r="R2" s="22">
        <f>AVERAGE(M3:M135)</f>
        <v>5.4259020000477572E-17</v>
      </c>
      <c r="S2" s="22">
        <f>AVERAGE(N3:N135)</f>
        <v>3.2138034923359796E-17</v>
      </c>
      <c r="T2" s="31">
        <f>SUM(Q2:S2)</f>
        <v>7.7214759231448856E-17</v>
      </c>
    </row>
    <row r="3" spans="1:21" ht="13.8" thickBot="1" x14ac:dyDescent="0.3">
      <c r="A3" s="80">
        <v>1</v>
      </c>
      <c r="B3" s="83">
        <v>-9.7281587709086431E-2</v>
      </c>
      <c r="C3" s="84">
        <v>0.17410030145843183</v>
      </c>
      <c r="D3" s="85">
        <v>-0.14015006766579127</v>
      </c>
      <c r="F3" s="26" t="s">
        <v>4</v>
      </c>
      <c r="G3" s="23">
        <f>VAR(B3:B135)</f>
        <v>0.99999999999999911</v>
      </c>
      <c r="H3" s="24">
        <f>VAR(C3:C135)</f>
        <v>1</v>
      </c>
      <c r="I3" s="24">
        <f>VAR(D3:D135)</f>
        <v>1.0000000000000007</v>
      </c>
      <c r="J3" s="30">
        <f>SUM(G3:I3)</f>
        <v>3</v>
      </c>
      <c r="K3" s="2"/>
      <c r="L3" s="97">
        <f t="array" ref="L3:N135">MMULT(B3:D135,G13:I15)</f>
        <v>-7.8616966944649258E-2</v>
      </c>
      <c r="M3" s="98">
        <v>0.23072821675132579</v>
      </c>
      <c r="N3" s="99">
        <v>-7.2542747434096999E-4</v>
      </c>
      <c r="P3" s="26" t="s">
        <v>4</v>
      </c>
      <c r="Q3" s="23">
        <f>VAR(L3:L135)</f>
        <v>1.9068015436940589</v>
      </c>
      <c r="R3" s="24">
        <f>VAR(M3:M135)</f>
        <v>0.81733373137713738</v>
      </c>
      <c r="S3" s="24">
        <f>VAR(N3:N135)</f>
        <v>0.27586472492880315</v>
      </c>
      <c r="T3" s="30">
        <f>SUM(Q3:S3)</f>
        <v>2.9999999999999996</v>
      </c>
    </row>
    <row r="4" spans="1:21" x14ac:dyDescent="0.25">
      <c r="A4" s="80">
        <f>A3+1</f>
        <v>2</v>
      </c>
      <c r="B4" s="83">
        <v>0.17950405781204543</v>
      </c>
      <c r="C4" s="84">
        <v>6.3158774533301251E-2</v>
      </c>
      <c r="D4" s="85">
        <v>0.12044999021235922</v>
      </c>
      <c r="J4" s="2"/>
      <c r="K4" s="2"/>
      <c r="L4" s="100">
        <v>0.21983344722746717</v>
      </c>
      <c r="M4" s="101">
        <v>-2.6415384244415335E-2</v>
      </c>
      <c r="N4" s="102">
        <v>-4.1163341324584657E-2</v>
      </c>
      <c r="T4" s="2"/>
    </row>
    <row r="5" spans="1:21" ht="13.8" thickBot="1" x14ac:dyDescent="0.3">
      <c r="A5" s="80">
        <f t="shared" ref="A5:A68" si="0">A4+1</f>
        <v>3</v>
      </c>
      <c r="B5" s="83">
        <v>0.21390442197400353</v>
      </c>
      <c r="C5" s="84">
        <v>-0.58588024235319314</v>
      </c>
      <c r="D5" s="85">
        <v>0.25262874067035906</v>
      </c>
      <c r="F5" t="s">
        <v>3</v>
      </c>
      <c r="J5" s="2"/>
      <c r="K5" s="2"/>
      <c r="L5" s="100">
        <v>5.2793731774156166E-2</v>
      </c>
      <c r="M5" s="101">
        <v>-0.66793599295329387</v>
      </c>
      <c r="N5" s="102">
        <v>-6.2500975475717285E-2</v>
      </c>
      <c r="P5" t="s">
        <v>3</v>
      </c>
      <c r="T5" s="2"/>
    </row>
    <row r="6" spans="1:21" x14ac:dyDescent="0.25">
      <c r="A6" s="80">
        <f t="shared" si="0"/>
        <v>4</v>
      </c>
      <c r="B6" s="83">
        <v>0.60713376525792384</v>
      </c>
      <c r="C6" s="84">
        <v>-1.6327569966639166</v>
      </c>
      <c r="D6" s="85">
        <v>0.23648741383210015</v>
      </c>
      <c r="F6" s="94"/>
      <c r="G6" s="1" t="str">
        <f t="array" ref="G6:I6">B2:D2</f>
        <v>PPG</v>
      </c>
      <c r="H6" s="1" t="str">
        <v>EXXON</v>
      </c>
      <c r="I6" s="1" t="str">
        <v>DOW</v>
      </c>
      <c r="J6" s="2"/>
      <c r="K6" s="2"/>
      <c r="L6" s="100">
        <v>-0.13877292233250829</v>
      </c>
      <c r="M6" s="101">
        <v>-1.6805080932148384</v>
      </c>
      <c r="N6" s="102">
        <v>-0.49705909169731077</v>
      </c>
      <c r="P6" s="1"/>
      <c r="Q6" s="1" t="s">
        <v>6</v>
      </c>
      <c r="R6" s="1" t="s">
        <v>7</v>
      </c>
      <c r="S6" s="1" t="s">
        <v>9</v>
      </c>
      <c r="T6" s="2"/>
    </row>
    <row r="7" spans="1:21" x14ac:dyDescent="0.25">
      <c r="A7" s="80">
        <f t="shared" si="0"/>
        <v>5</v>
      </c>
      <c r="B7" s="83">
        <v>-0.37172890758407406</v>
      </c>
      <c r="C7" s="84">
        <v>0.60847191353207675</v>
      </c>
      <c r="D7" s="85">
        <v>0.1788653462910714</v>
      </c>
      <c r="F7" s="95" t="str">
        <f t="array" ref="F7:F9">TRANSPOSE(B2:D2)</f>
        <v>PPG</v>
      </c>
      <c r="G7" s="4">
        <f t="array" ref="G7:I9">MMULT(TRANSPOSE(B3:D135),B3:D135)/(F1-1)</f>
        <v>0.99999999999999911</v>
      </c>
      <c r="H7" s="4">
        <v>0.35195106197174969</v>
      </c>
      <c r="I7" s="4">
        <v>0.7135186625098251</v>
      </c>
      <c r="J7" s="2"/>
      <c r="K7" s="2"/>
      <c r="L7" s="100">
        <v>0.12364166154705439</v>
      </c>
      <c r="M7" s="101">
        <v>0.55082748475329368</v>
      </c>
      <c r="N7" s="102">
        <v>0.4708663122002939</v>
      </c>
      <c r="P7" s="74" t="s">
        <v>6</v>
      </c>
      <c r="Q7" s="4">
        <f t="array" ref="Q7:S9">MMULT(TRANSPOSE(L3:N135),L3:N135)/(P1-1)</f>
        <v>1.9068015436940589</v>
      </c>
      <c r="R7" s="4">
        <v>1.9555064638284008E-16</v>
      </c>
      <c r="S7" s="4">
        <v>9.0626159775273187E-16</v>
      </c>
      <c r="T7" s="2"/>
    </row>
    <row r="8" spans="1:21" x14ac:dyDescent="0.25">
      <c r="A8" s="80">
        <f t="shared" si="0"/>
        <v>6</v>
      </c>
      <c r="B8" s="83">
        <v>0.30374108516627124</v>
      </c>
      <c r="C8" s="84">
        <v>1.1048421553524361</v>
      </c>
      <c r="D8" s="85">
        <v>0.18269059404743618</v>
      </c>
      <c r="F8" s="95" t="str">
        <v>EXXON</v>
      </c>
      <c r="G8" s="4">
        <v>0.35195106197174969</v>
      </c>
      <c r="H8" s="4">
        <v>1</v>
      </c>
      <c r="I8" s="4">
        <v>0.23882110291519568</v>
      </c>
      <c r="J8" s="2"/>
      <c r="K8" s="2"/>
      <c r="L8" s="100">
        <v>0.77771492003028209</v>
      </c>
      <c r="M8" s="101">
        <v>0.85978540823126126</v>
      </c>
      <c r="N8" s="102">
        <v>4.7320642114214051E-2</v>
      </c>
      <c r="P8" s="74" t="s">
        <v>7</v>
      </c>
      <c r="Q8" s="4">
        <v>1.9555064638284008E-16</v>
      </c>
      <c r="R8" s="4">
        <v>0.81733373137713738</v>
      </c>
      <c r="S8" s="4">
        <v>8.6000230506001713E-17</v>
      </c>
      <c r="T8" s="2"/>
    </row>
    <row r="9" spans="1:21" ht="13.8" thickBot="1" x14ac:dyDescent="0.3">
      <c r="A9" s="80">
        <f t="shared" si="0"/>
        <v>7</v>
      </c>
      <c r="B9" s="83">
        <v>-1.6283041553706821</v>
      </c>
      <c r="C9" s="84">
        <v>-1.092126145871974</v>
      </c>
      <c r="D9" s="85">
        <v>0.20467521754603038</v>
      </c>
      <c r="F9" s="96" t="str">
        <v>DOW</v>
      </c>
      <c r="G9" s="6">
        <v>0.7135186625098251</v>
      </c>
      <c r="H9" s="6">
        <v>0.23882110291519568</v>
      </c>
      <c r="I9" s="6">
        <v>1.0000000000000007</v>
      </c>
      <c r="J9" s="2"/>
      <c r="K9" s="2"/>
      <c r="L9" s="100">
        <v>-1.398777357902544</v>
      </c>
      <c r="M9" s="101">
        <v>-0.73477460182191456</v>
      </c>
      <c r="N9" s="102">
        <v>1.1787849986781911</v>
      </c>
      <c r="P9" s="75" t="s">
        <v>9</v>
      </c>
      <c r="Q9" s="6">
        <v>9.0626159775273187E-16</v>
      </c>
      <c r="R9" s="6">
        <v>8.6000230506001713E-17</v>
      </c>
      <c r="S9" s="6">
        <v>0.27586472492880315</v>
      </c>
      <c r="T9" s="2"/>
    </row>
    <row r="10" spans="1:21" ht="14.4" x14ac:dyDescent="0.3">
      <c r="A10" s="80">
        <f t="shared" si="0"/>
        <v>8</v>
      </c>
      <c r="B10" s="83">
        <v>-0.53976008982739054</v>
      </c>
      <c r="C10" s="84">
        <v>-8.4392494033169216E-2</v>
      </c>
      <c r="D10" s="85">
        <v>-0.31044173402530922</v>
      </c>
      <c r="J10" s="2"/>
      <c r="K10" s="2"/>
      <c r="L10" s="100">
        <v>-0.58428529026798892</v>
      </c>
      <c r="M10" s="101">
        <v>0.1539247631949853</v>
      </c>
      <c r="N10" s="102">
        <v>0.17249633241339227</v>
      </c>
      <c r="S10" s="27"/>
    </row>
    <row r="11" spans="1:21" ht="13.8" thickBot="1" x14ac:dyDescent="0.3">
      <c r="A11" s="80">
        <f t="shared" si="0"/>
        <v>9</v>
      </c>
      <c r="B11" s="83">
        <v>2.2977098398920048E-2</v>
      </c>
      <c r="C11" s="84">
        <v>-0.37615104742598127</v>
      </c>
      <c r="D11" s="85">
        <v>-0.11017406061420748</v>
      </c>
      <c r="F11" s="17" t="s">
        <v>19</v>
      </c>
      <c r="G11" s="76"/>
      <c r="H11" s="76"/>
      <c r="I11" s="76"/>
      <c r="J11" s="2"/>
      <c r="K11" s="2"/>
      <c r="L11" s="100">
        <v>-0.21191328672801157</v>
      </c>
      <c r="M11" s="101">
        <v>-0.29924454068706252</v>
      </c>
      <c r="N11" s="102">
        <v>-0.14036147954421135</v>
      </c>
    </row>
    <row r="12" spans="1:21" ht="15" thickBot="1" x14ac:dyDescent="0.35">
      <c r="A12" s="80">
        <f t="shared" si="0"/>
        <v>10</v>
      </c>
      <c r="B12" s="83">
        <v>-0.11726327230949124</v>
      </c>
      <c r="C12" s="84">
        <v>-1.2149927065062633</v>
      </c>
      <c r="D12" s="85">
        <v>0.54145268778916644</v>
      </c>
      <c r="G12" s="93" t="s">
        <v>10</v>
      </c>
      <c r="H12" s="93" t="s">
        <v>11</v>
      </c>
      <c r="I12" s="89" t="s">
        <v>12</v>
      </c>
      <c r="J12" s="2"/>
      <c r="K12" s="2"/>
      <c r="L12" s="100">
        <v>-0.2475798936479115</v>
      </c>
      <c r="M12" s="101">
        <v>-1.2796923130261795</v>
      </c>
      <c r="N12" s="102">
        <v>0.29020810680140036</v>
      </c>
      <c r="P12" t="s">
        <v>17</v>
      </c>
      <c r="T12" s="27"/>
      <c r="U12" s="27"/>
    </row>
    <row r="13" spans="1:21" ht="14.4" x14ac:dyDescent="0.3">
      <c r="A13" s="80">
        <f t="shared" si="0"/>
        <v>11</v>
      </c>
      <c r="B13" s="83">
        <v>-0.66981979189648844</v>
      </c>
      <c r="C13" s="84">
        <v>1.0185319867985352</v>
      </c>
      <c r="D13" s="85">
        <v>-0.29354580894485716</v>
      </c>
      <c r="G13" s="8">
        <f t="array" ref="G13:I15">'MINITAB OUTPUT'!B2:D4</f>
        <v>0.65626145585767581</v>
      </c>
      <c r="H13" s="8">
        <v>-0.20030502995909855</v>
      </c>
      <c r="I13" s="90">
        <v>-0.72746051200642381</v>
      </c>
      <c r="J13" s="2"/>
      <c r="K13" s="2"/>
      <c r="L13" s="103">
        <v>-0.19600704730010768</v>
      </c>
      <c r="M13" s="104">
        <v>1.1638197356311049</v>
      </c>
      <c r="N13" s="105">
        <v>0.42348549451115236</v>
      </c>
      <c r="P13" s="1"/>
      <c r="Q13" s="1" t="s">
        <v>6</v>
      </c>
      <c r="R13" s="1" t="s">
        <v>7</v>
      </c>
      <c r="S13" s="1" t="s">
        <v>9</v>
      </c>
    </row>
    <row r="14" spans="1:21" ht="14.4" x14ac:dyDescent="0.3">
      <c r="A14" s="80">
        <f t="shared" si="0"/>
        <v>12</v>
      </c>
      <c r="B14" s="83">
        <v>-0.49837694439257935</v>
      </c>
      <c r="C14" s="84">
        <v>0.21314063316591073</v>
      </c>
      <c r="D14" s="85">
        <v>-0.29863102195405383</v>
      </c>
      <c r="G14" s="9">
        <v>0.4198279505651934</v>
      </c>
      <c r="H14" s="9">
        <v>0.89803177882357577</v>
      </c>
      <c r="I14" s="91">
        <v>0.13146640691520384</v>
      </c>
      <c r="J14" s="2"/>
      <c r="K14" s="2"/>
      <c r="L14" s="103">
        <v>-0.42480968660888518</v>
      </c>
      <c r="M14" s="104">
        <v>0.40820364055377972</v>
      </c>
      <c r="N14" s="105">
        <v>0.18946111338127758</v>
      </c>
      <c r="P14" s="3" t="s">
        <v>0</v>
      </c>
      <c r="Q14" s="4">
        <f>CORREL(B3:B135,$L$3:$L$135)</f>
        <v>0.90621165836167383</v>
      </c>
      <c r="R14" s="4">
        <f>CORREL(B3:B135,$M$3:$M$135)</f>
        <v>-0.18108878985832949</v>
      </c>
      <c r="S14" s="4">
        <f>CORREL(B3:B135,$N$3:$N$135)</f>
        <v>-0.38208281881946543</v>
      </c>
    </row>
    <row r="15" spans="1:21" ht="15" thickBot="1" x14ac:dyDescent="0.35">
      <c r="A15" s="80">
        <f t="shared" si="0"/>
        <v>13</v>
      </c>
      <c r="B15" s="83">
        <v>-0.33798954259507613</v>
      </c>
      <c r="C15" s="84">
        <v>1.1155114502145878</v>
      </c>
      <c r="D15" s="85">
        <v>0.17386067010649456</v>
      </c>
      <c r="G15" s="10">
        <v>0.62694927504527298</v>
      </c>
      <c r="H15" s="10">
        <v>-0.3916845914713124</v>
      </c>
      <c r="I15" s="92">
        <v>0.67343729279284614</v>
      </c>
      <c r="J15" s="2"/>
      <c r="K15" s="2"/>
      <c r="L15" s="103">
        <v>0.35551519776963464</v>
      </c>
      <c r="M15" s="104">
        <v>1.0013671918460507</v>
      </c>
      <c r="N15" s="105">
        <v>0.509610586941179</v>
      </c>
      <c r="P15" s="3" t="s">
        <v>1</v>
      </c>
      <c r="Q15" s="4">
        <f>CORREL(C3:C135,$L$3:$L$135)</f>
        <v>0.57972775928314813</v>
      </c>
      <c r="R15" s="4">
        <f>CORREL(C3:C135,$M$3:$M$135)</f>
        <v>0.81187920300698957</v>
      </c>
      <c r="S15" s="4">
        <f>CORREL(C3:C135,$N$3:$N$135)</f>
        <v>6.9049872130770976E-2</v>
      </c>
    </row>
    <row r="16" spans="1:21" ht="13.8" thickBot="1" x14ac:dyDescent="0.3">
      <c r="A16" s="80">
        <f t="shared" si="0"/>
        <v>14</v>
      </c>
      <c r="B16" s="83">
        <v>2.0490064982663179</v>
      </c>
      <c r="C16" s="84">
        <v>0.80182169570062334</v>
      </c>
      <c r="D16" s="85">
        <v>0.34685438430317961</v>
      </c>
      <c r="F16" s="15" t="s">
        <v>18</v>
      </c>
      <c r="G16" s="108">
        <f t="array" ref="G16:I16">TRANSPOSE('MINITAB OUTPUT'!A2:A4)</f>
        <v>1.9068015436940597</v>
      </c>
      <c r="H16" s="108">
        <v>0.8173337313771375</v>
      </c>
      <c r="I16" s="20">
        <v>0.27586472492880398</v>
      </c>
      <c r="J16" s="2"/>
      <c r="K16" s="2"/>
      <c r="L16" s="100">
        <v>1.8987712516239459</v>
      </c>
      <c r="M16" s="101">
        <v>0.17377753785191979</v>
      </c>
      <c r="N16" s="102">
        <v>-1.1515740214544257</v>
      </c>
      <c r="P16" s="5" t="s">
        <v>2</v>
      </c>
      <c r="Q16" s="6">
        <f>CORREL(D3:D135,$L$3:$L$135)</f>
        <v>0.86573535162888138</v>
      </c>
      <c r="R16" s="6">
        <f>CORREL(D3:D135,$M$3:$M$135)</f>
        <v>-0.35410837506266091</v>
      </c>
      <c r="S16" s="6">
        <f>CORREL(D3:D135,$N$3:$N$135)</f>
        <v>0.35370829740126108</v>
      </c>
    </row>
    <row r="17" spans="1:17" x14ac:dyDescent="0.25">
      <c r="A17" s="80">
        <f t="shared" si="0"/>
        <v>15</v>
      </c>
      <c r="B17" s="83">
        <v>7.625043766271225E-2</v>
      </c>
      <c r="C17" s="84">
        <v>0.71535114032052993</v>
      </c>
      <c r="D17" s="85">
        <v>1.1727543482948393</v>
      </c>
      <c r="F17" s="76"/>
      <c r="G17" s="76"/>
      <c r="H17" s="7"/>
      <c r="I17" s="76"/>
      <c r="J17" s="2"/>
      <c r="K17" s="2"/>
      <c r="L17" s="100">
        <v>1.0856221148751997</v>
      </c>
      <c r="M17" s="101">
        <v>0.16778490301702553</v>
      </c>
      <c r="N17" s="102">
        <v>0.82835197510451852</v>
      </c>
    </row>
    <row r="18" spans="1:17" x14ac:dyDescent="0.25">
      <c r="A18" s="80">
        <f t="shared" si="0"/>
        <v>16</v>
      </c>
      <c r="B18" s="83">
        <v>-0.73729095691847668</v>
      </c>
      <c r="C18" s="84">
        <v>-0.14637458539372489</v>
      </c>
      <c r="D18" s="85">
        <v>-1.6014561354128836</v>
      </c>
      <c r="F18" s="16" t="s">
        <v>8</v>
      </c>
      <c r="J18" s="2"/>
      <c r="K18" s="2"/>
      <c r="L18" s="100">
        <v>-1.5493395420926079</v>
      </c>
      <c r="M18" s="101">
        <v>0.64349975007685978</v>
      </c>
      <c r="N18" s="102">
        <v>-0.56137356814674033</v>
      </c>
      <c r="P18" s="72" t="s">
        <v>40</v>
      </c>
      <c r="Q18" s="73">
        <v>0.4</v>
      </c>
    </row>
    <row r="19" spans="1:17" ht="13.8" thickBot="1" x14ac:dyDescent="0.3">
      <c r="A19" s="80">
        <f t="shared" si="0"/>
        <v>17</v>
      </c>
      <c r="B19" s="83">
        <v>-1.1427649574895298</v>
      </c>
      <c r="C19" s="84">
        <v>-1.0934384521043363</v>
      </c>
      <c r="D19" s="85">
        <v>-0.13564056342368949</v>
      </c>
      <c r="F19" t="s">
        <v>17</v>
      </c>
      <c r="J19" s="2"/>
      <c r="K19" s="2"/>
      <c r="L19" s="100">
        <v>-1.2940483720265692</v>
      </c>
      <c r="M19" s="101">
        <v>-0.6999125904596597</v>
      </c>
      <c r="N19" s="102">
        <v>0.5962205427723074</v>
      </c>
    </row>
    <row r="20" spans="1:17" x14ac:dyDescent="0.25">
      <c r="A20" s="80">
        <f t="shared" si="0"/>
        <v>18</v>
      </c>
      <c r="B20" s="83">
        <v>6.1835030237953621E-2</v>
      </c>
      <c r="C20" s="84">
        <v>-0.21429786622947283</v>
      </c>
      <c r="D20" s="85">
        <v>-3.3318072643192261E-2</v>
      </c>
      <c r="F20" s="1"/>
      <c r="G20" s="1" t="s">
        <v>6</v>
      </c>
      <c r="H20" s="1" t="s">
        <v>7</v>
      </c>
      <c r="I20" s="1" t="s">
        <v>9</v>
      </c>
      <c r="J20" s="2"/>
      <c r="K20" s="2"/>
      <c r="L20" s="100">
        <v>-7.0277028512205839E-2</v>
      </c>
      <c r="M20" s="101">
        <v>-0.19178198592062498</v>
      </c>
      <c r="N20" s="102">
        <v>-9.559314588152501E-2</v>
      </c>
    </row>
    <row r="21" spans="1:17" x14ac:dyDescent="0.25">
      <c r="A21" s="80">
        <f t="shared" si="0"/>
        <v>19</v>
      </c>
      <c r="B21" s="83">
        <v>2.5410968813132935</v>
      </c>
      <c r="C21" s="84">
        <v>2.3018080385936379</v>
      </c>
      <c r="D21" s="85">
        <v>1.6702896105527476</v>
      </c>
      <c r="F21" s="35" t="str">
        <f t="array" ref="F21:F23">F7:F9</f>
        <v>PPG</v>
      </c>
      <c r="G21" s="4">
        <f t="array" ref="G21:I23">G13:I15*POWER(G16:I16,0.5)</f>
        <v>0.90621165836167483</v>
      </c>
      <c r="H21" s="4">
        <v>-0.18108878985832927</v>
      </c>
      <c r="I21" s="4">
        <v>-0.38208281881946698</v>
      </c>
      <c r="J21" s="2"/>
      <c r="K21" s="2"/>
      <c r="L21" s="100">
        <v>3.6811741506950129</v>
      </c>
      <c r="M21" s="101">
        <v>0.90387557672008922</v>
      </c>
      <c r="N21" s="102">
        <v>-0.4211018925849972</v>
      </c>
    </row>
    <row r="22" spans="1:17" x14ac:dyDescent="0.25">
      <c r="A22" s="80">
        <f t="shared" si="0"/>
        <v>20</v>
      </c>
      <c r="B22" s="83">
        <v>-1.3500217583505292</v>
      </c>
      <c r="C22" s="84">
        <v>-0.37260061475226758</v>
      </c>
      <c r="D22" s="85">
        <v>-0.27918870344343799</v>
      </c>
      <c r="F22" s="35" t="str">
        <v>EXXON</v>
      </c>
      <c r="G22" s="4">
        <v>0.57972775928314835</v>
      </c>
      <c r="H22" s="4">
        <v>0.81187920300698979</v>
      </c>
      <c r="I22" s="4">
        <v>6.9049872130770157E-2</v>
      </c>
      <c r="J22" s="2"/>
      <c r="K22" s="2"/>
      <c r="L22" s="100">
        <v>-1.2174325522701266</v>
      </c>
      <c r="M22" s="101">
        <v>4.5162869146749329E-2</v>
      </c>
      <c r="N22" s="102">
        <v>0.7450869708883181</v>
      </c>
    </row>
    <row r="23" spans="1:17" ht="13.8" thickBot="1" x14ac:dyDescent="0.3">
      <c r="A23" s="80">
        <f t="shared" si="0"/>
        <v>21</v>
      </c>
      <c r="B23" s="83">
        <v>-1.9008912219768026</v>
      </c>
      <c r="C23" s="84">
        <v>-1.0033417565047891</v>
      </c>
      <c r="D23" s="85">
        <v>-0.67523697532870042</v>
      </c>
      <c r="F23" s="36" t="str">
        <v>DOW</v>
      </c>
      <c r="G23" s="6">
        <v>0.86573535162888149</v>
      </c>
      <c r="H23" s="6">
        <v>-0.35410837506266113</v>
      </c>
      <c r="I23" s="6">
        <v>0.35370829740126047</v>
      </c>
      <c r="J23" s="2"/>
      <c r="K23" s="2"/>
      <c r="L23" s="100">
        <v>-2.0920518862775515</v>
      </c>
      <c r="M23" s="101">
        <v>-0.25579479036696912</v>
      </c>
      <c r="N23" s="102">
        <v>0.79618780531309763</v>
      </c>
    </row>
    <row r="24" spans="1:17" x14ac:dyDescent="0.25">
      <c r="A24" s="80">
        <f t="shared" si="0"/>
        <v>22</v>
      </c>
      <c r="B24" s="83">
        <v>-0.99537729157325683</v>
      </c>
      <c r="C24" s="84">
        <v>-1.1475890621899734</v>
      </c>
      <c r="D24" s="85">
        <v>-0.75806738986822453</v>
      </c>
      <c r="F24" s="39" t="s">
        <v>5</v>
      </c>
      <c r="G24" s="7">
        <f>AVERAGE(L3:L135)</f>
        <v>-9.1822956923885122E-18</v>
      </c>
      <c r="H24" s="7">
        <f t="shared" ref="H24:I24" si="1">AVERAGE(M3:M135)</f>
        <v>5.4259020000477572E-17</v>
      </c>
      <c r="I24" s="7">
        <f t="shared" si="1"/>
        <v>3.2138034923359796E-17</v>
      </c>
      <c r="J24" s="2"/>
      <c r="K24" s="2"/>
      <c r="L24" s="100">
        <v>-1.6102875150791305</v>
      </c>
      <c r="M24" s="101">
        <v>-0.53426905275949377</v>
      </c>
      <c r="N24" s="102">
        <v>6.2717412758748425E-2</v>
      </c>
    </row>
    <row r="25" spans="1:17" x14ac:dyDescent="0.25">
      <c r="A25" s="80">
        <f t="shared" si="0"/>
        <v>23</v>
      </c>
      <c r="B25" s="83">
        <v>-0.1603265491656865</v>
      </c>
      <c r="C25" s="84">
        <v>-0.62240695656593337</v>
      </c>
      <c r="D25" s="85">
        <v>-0.18253593018618319</v>
      </c>
      <c r="F25" s="40" t="s">
        <v>29</v>
      </c>
      <c r="G25" s="41">
        <f>VAR(L3:L135)</f>
        <v>1.9068015436940589</v>
      </c>
      <c r="H25" s="41">
        <f t="shared" ref="H25:I25" si="2">VAR(M3:M135)</f>
        <v>0.81733373137713738</v>
      </c>
      <c r="I25" s="41">
        <f t="shared" si="2"/>
        <v>0.27586472492880315</v>
      </c>
      <c r="J25" s="2"/>
      <c r="K25" s="2"/>
      <c r="L25" s="100">
        <v>-0.48096074066064792</v>
      </c>
      <c r="M25" s="101">
        <v>-0.45533050087939031</v>
      </c>
      <c r="N25" s="102">
        <v>-8.8120875336464385E-2</v>
      </c>
    </row>
    <row r="26" spans="1:17" x14ac:dyDescent="0.25">
      <c r="A26" s="80">
        <f t="shared" si="0"/>
        <v>24</v>
      </c>
      <c r="B26" s="83">
        <v>0.33260278037025703</v>
      </c>
      <c r="C26" s="84">
        <v>-0.4786228988756196</v>
      </c>
      <c r="D26" s="85">
        <v>6.4787835302377098E-2</v>
      </c>
      <c r="F26" s="3" t="s">
        <v>13</v>
      </c>
      <c r="G26" s="11">
        <f>G16/$J$3</f>
        <v>0.63560051456468658</v>
      </c>
      <c r="H26" s="11">
        <f>H16/$J$3</f>
        <v>0.27244457712571252</v>
      </c>
      <c r="I26" s="11">
        <f>I16/$J$3</f>
        <v>9.1954908309601333E-2</v>
      </c>
      <c r="J26" s="2"/>
      <c r="K26" s="2"/>
      <c r="L26" s="100">
        <v>5.795380051415034E-2</v>
      </c>
      <c r="M26" s="101">
        <v>-0.52181697995223519</v>
      </c>
      <c r="N26" s="102">
        <v>-0.2612476772734823</v>
      </c>
    </row>
    <row r="27" spans="1:17" ht="13.8" thickBot="1" x14ac:dyDescent="0.3">
      <c r="A27" s="80">
        <f t="shared" si="0"/>
        <v>25</v>
      </c>
      <c r="B27" s="83">
        <v>-0.4506488985583138</v>
      </c>
      <c r="C27" s="84">
        <v>0.47925710623543832</v>
      </c>
      <c r="D27" s="85">
        <v>0.40564491236073219</v>
      </c>
      <c r="F27" s="5" t="s">
        <v>14</v>
      </c>
      <c r="G27" s="14">
        <f>G26</f>
        <v>0.63560051456468658</v>
      </c>
      <c r="H27" s="14">
        <f>G27+H26</f>
        <v>0.90804509169039904</v>
      </c>
      <c r="I27" s="14">
        <f>H27+I26</f>
        <v>1.0000000000000004</v>
      </c>
      <c r="J27" s="2"/>
      <c r="K27" s="2"/>
      <c r="L27" s="100">
        <v>0.15978081018645648</v>
      </c>
      <c r="M27" s="101">
        <v>0.36177049097277814</v>
      </c>
      <c r="N27" s="102">
        <v>0.66401189984111597</v>
      </c>
    </row>
    <row r="28" spans="1:17" x14ac:dyDescent="0.25">
      <c r="A28" s="80">
        <f t="shared" si="0"/>
        <v>26</v>
      </c>
      <c r="B28" s="83">
        <v>-0.80046814895598051</v>
      </c>
      <c r="C28" s="84">
        <v>-0.9765199946865708</v>
      </c>
      <c r="D28" s="85">
        <v>-0.24190683978702332</v>
      </c>
      <c r="J28" s="2"/>
      <c r="K28" s="2"/>
      <c r="L28" s="100">
        <v>-1.0869500986897145</v>
      </c>
      <c r="M28" s="101">
        <v>-0.62185700961114176</v>
      </c>
      <c r="N28" s="102">
        <v>0.29102030720780869</v>
      </c>
    </row>
    <row r="29" spans="1:17" x14ac:dyDescent="0.25">
      <c r="A29" s="80">
        <f t="shared" si="0"/>
        <v>27</v>
      </c>
      <c r="B29" s="83">
        <v>0.66055932171899712</v>
      </c>
      <c r="C29" s="84">
        <v>0.31950505788958355</v>
      </c>
      <c r="D29" s="85">
        <v>0.6282327026433624</v>
      </c>
      <c r="J29" s="2"/>
      <c r="K29" s="2"/>
      <c r="L29" s="100">
        <v>0.96150681328265386</v>
      </c>
      <c r="M29" s="101">
        <v>-9.1456728730757164E-2</v>
      </c>
      <c r="N29" s="102">
        <v>-1.5451309924260859E-2</v>
      </c>
    </row>
    <row r="30" spans="1:17" ht="13.8" thickBot="1" x14ac:dyDescent="0.3">
      <c r="A30" s="80">
        <f t="shared" si="0"/>
        <v>28</v>
      </c>
      <c r="B30" s="83">
        <v>-0.71319186785868405</v>
      </c>
      <c r="C30" s="84">
        <v>-1.2859738770075939</v>
      </c>
      <c r="D30" s="85">
        <v>-0.18577580298850641</v>
      </c>
      <c r="F30" s="37" t="s">
        <v>15</v>
      </c>
      <c r="J30" s="2"/>
      <c r="K30" s="2"/>
      <c r="L30" s="100">
        <v>-1.124400115775867</v>
      </c>
      <c r="M30" s="101">
        <v>-0.93922397033295257</v>
      </c>
      <c r="N30" s="102">
        <v>0.22464820252329648</v>
      </c>
    </row>
    <row r="31" spans="1:17" x14ac:dyDescent="0.25">
      <c r="A31" s="80">
        <f t="shared" si="0"/>
        <v>29</v>
      </c>
      <c r="B31" s="83">
        <v>0.62080975774370228</v>
      </c>
      <c r="C31" s="84">
        <v>0.33367224215376751</v>
      </c>
      <c r="D31" s="85">
        <v>-0.54692675008180414</v>
      </c>
      <c r="F31" s="1"/>
      <c r="G31" s="1" t="s">
        <v>6</v>
      </c>
      <c r="H31" s="1" t="s">
        <v>7</v>
      </c>
      <c r="I31" s="1" t="s">
        <v>9</v>
      </c>
      <c r="J31" s="2"/>
      <c r="K31" s="2"/>
      <c r="L31" s="100">
        <v>0.20460311954478788</v>
      </c>
      <c r="M31" s="101">
        <v>0.38951974071216977</v>
      </c>
      <c r="N31" s="102">
        <v>-0.77606876339460173</v>
      </c>
    </row>
    <row r="32" spans="1:17" x14ac:dyDescent="0.25">
      <c r="A32" s="80">
        <f t="shared" si="0"/>
        <v>30</v>
      </c>
      <c r="B32" s="83">
        <v>0.9314169133355199</v>
      </c>
      <c r="C32" s="84">
        <v>-1.342432804115441</v>
      </c>
      <c r="D32" s="85">
        <v>-0.22566885997422084</v>
      </c>
      <c r="F32" s="35" t="str">
        <f t="array" ref="F32:F34">F7:F9</f>
        <v>PPG</v>
      </c>
      <c r="G32" s="12">
        <f t="array" ref="G32:I34">POWER(G21:I23,2)</f>
        <v>0.82121956975061683</v>
      </c>
      <c r="H32" s="12">
        <v>3.2793149812354136E-2</v>
      </c>
      <c r="I32" s="12">
        <v>0.14598728043702963</v>
      </c>
      <c r="J32" s="2"/>
      <c r="K32" s="2"/>
      <c r="L32" s="100">
        <v>-9.3820721528371315E-2</v>
      </c>
      <c r="M32" s="101">
        <v>-1.3037237965341932</v>
      </c>
      <c r="N32" s="102">
        <v>-1.0060276680773459</v>
      </c>
    </row>
    <row r="33" spans="1:14" x14ac:dyDescent="0.25">
      <c r="A33" s="80">
        <f t="shared" si="0"/>
        <v>31</v>
      </c>
      <c r="B33" s="83">
        <v>0.31640675829432491</v>
      </c>
      <c r="C33" s="84">
        <v>0.48784727443205</v>
      </c>
      <c r="D33" s="85">
        <v>-0.57652456687989984</v>
      </c>
      <c r="F33" s="35" t="str">
        <v>EXXON</v>
      </c>
      <c r="G33" s="12">
        <v>0.33608427488345999</v>
      </c>
      <c r="H33" s="12">
        <v>0.65914784027526496</v>
      </c>
      <c r="I33" s="12">
        <v>4.7678848412757088E-3</v>
      </c>
      <c r="J33" s="2"/>
      <c r="K33" s="2"/>
      <c r="L33" s="100">
        <v>5.1005822003921231E-2</v>
      </c>
      <c r="M33" s="101">
        <v>0.60054027990456993</v>
      </c>
      <c r="N33" s="102">
        <v>-0.55429103764629328</v>
      </c>
    </row>
    <row r="34" spans="1:14" ht="13.8" thickBot="1" x14ac:dyDescent="0.3">
      <c r="A34" s="80">
        <f t="shared" si="0"/>
        <v>32</v>
      </c>
      <c r="B34" s="83">
        <v>-0.83662741738518753</v>
      </c>
      <c r="C34" s="84">
        <v>-1.2856713799187176</v>
      </c>
      <c r="D34" s="85">
        <v>-0.21822336218800131</v>
      </c>
      <c r="F34" s="36" t="str">
        <v>DOW</v>
      </c>
      <c r="G34" s="13">
        <v>0.74949769905998309</v>
      </c>
      <c r="H34" s="13">
        <v>0.12539274128951827</v>
      </c>
      <c r="I34" s="13">
        <v>0.12510955965049853</v>
      </c>
      <c r="J34" s="2"/>
      <c r="K34" s="2"/>
      <c r="L34" s="100">
        <v>-1.2256220861969593</v>
      </c>
      <c r="M34" s="101">
        <v>-0.90151834791892049</v>
      </c>
      <c r="N34" s="102">
        <v>0.29263106236197445</v>
      </c>
    </row>
    <row r="35" spans="1:14" x14ac:dyDescent="0.25">
      <c r="A35" s="80">
        <f t="shared" si="0"/>
        <v>33</v>
      </c>
      <c r="B35" s="83">
        <v>0.40317548595508734</v>
      </c>
      <c r="C35" s="84">
        <v>0.14410435217934325</v>
      </c>
      <c r="D35" s="85">
        <v>0.28882091125504894</v>
      </c>
      <c r="J35" s="2"/>
      <c r="K35" s="2"/>
      <c r="L35" s="100">
        <v>0.50616362715125818</v>
      </c>
      <c r="M35" s="101">
        <v>-6.4474490702479251E-2</v>
      </c>
      <c r="N35" s="102">
        <v>-7.9846591461902178E-2</v>
      </c>
    </row>
    <row r="36" spans="1:14" ht="13.8" thickBot="1" x14ac:dyDescent="0.3">
      <c r="A36" s="80">
        <f t="shared" si="0"/>
        <v>34</v>
      </c>
      <c r="B36" s="83">
        <v>-1.0075076343476725</v>
      </c>
      <c r="C36" s="84">
        <v>-0.48958674128563873</v>
      </c>
      <c r="D36" s="85">
        <v>-0.16719458887317307</v>
      </c>
      <c r="F36" s="38" t="s">
        <v>16</v>
      </c>
      <c r="J36" s="2"/>
      <c r="K36" s="2"/>
      <c r="L36" s="100">
        <v>-0.97155315140809606</v>
      </c>
      <c r="M36" s="101">
        <v>-0.17236806104414604</v>
      </c>
      <c r="N36" s="102">
        <v>0.55596273848242961</v>
      </c>
    </row>
    <row r="37" spans="1:14" x14ac:dyDescent="0.25">
      <c r="A37" s="80">
        <f t="shared" si="0"/>
        <v>35</v>
      </c>
      <c r="B37" s="83">
        <v>0.4182506689151349</v>
      </c>
      <c r="C37" s="84">
        <v>-8.6847847176437079E-2</v>
      </c>
      <c r="D37" s="85">
        <v>-0.15169109745061626</v>
      </c>
      <c r="F37" s="1"/>
      <c r="G37" s="1" t="s">
        <v>6</v>
      </c>
      <c r="H37" s="1" t="s">
        <v>7</v>
      </c>
      <c r="I37" s="1" t="s">
        <v>9</v>
      </c>
      <c r="J37" s="2"/>
      <c r="K37" s="2"/>
      <c r="L37" s="100">
        <v>0.14291801562712478</v>
      </c>
      <c r="M37" s="101">
        <v>-0.10235477391953328</v>
      </c>
      <c r="N37" s="102">
        <v>-0.41783286218055904</v>
      </c>
    </row>
    <row r="38" spans="1:14" x14ac:dyDescent="0.25">
      <c r="A38" s="80">
        <f t="shared" si="0"/>
        <v>36</v>
      </c>
      <c r="B38" s="83">
        <v>0.45343195550745208</v>
      </c>
      <c r="C38" s="84">
        <v>-0.36968450622194227</v>
      </c>
      <c r="D38" s="85">
        <v>0.25574533536742944</v>
      </c>
      <c r="F38" s="35" t="str">
        <f t="array" ref="F38:F40">F7:F9</f>
        <v>PPG</v>
      </c>
      <c r="G38" s="12">
        <f t="array" ref="G38:G40">G32:G34</f>
        <v>0.82121956975061683</v>
      </c>
      <c r="H38" s="12">
        <f t="array" ref="H38:H40">G38:G40+H32:H34</f>
        <v>0.85401271956297098</v>
      </c>
      <c r="I38" s="12">
        <f t="array" ref="I38:I40">H38:H40+I32:I34</f>
        <v>1.0000000000000007</v>
      </c>
      <c r="J38" s="2"/>
      <c r="K38" s="2"/>
      <c r="L38" s="100">
        <v>0.30270537925566998</v>
      </c>
      <c r="M38" s="101">
        <v>-0.52298464336242434</v>
      </c>
      <c r="N38" s="102">
        <v>-0.20622648994450496</v>
      </c>
    </row>
    <row r="39" spans="1:14" x14ac:dyDescent="0.25">
      <c r="A39" s="80">
        <f t="shared" si="0"/>
        <v>37</v>
      </c>
      <c r="B39" s="83">
        <v>-0.18314658222449132</v>
      </c>
      <c r="C39" s="84">
        <v>0.91989012861586095</v>
      </c>
      <c r="D39" s="85">
        <v>0.11336205089168488</v>
      </c>
      <c r="F39" s="35" t="str">
        <v>EXXON</v>
      </c>
      <c r="G39" s="12">
        <v>0.33608427488345999</v>
      </c>
      <c r="H39" s="12">
        <v>0.99523211515872489</v>
      </c>
      <c r="I39" s="12">
        <v>1.0000000000000007</v>
      </c>
      <c r="K39" s="2"/>
      <c r="L39" s="100">
        <v>0.33707580038013402</v>
      </c>
      <c r="M39" s="101">
        <v>0.81837358157067308</v>
      </c>
      <c r="N39" s="102">
        <v>0.33050878910108811</v>
      </c>
    </row>
    <row r="40" spans="1:14" ht="13.8" thickBot="1" x14ac:dyDescent="0.3">
      <c r="A40" s="80">
        <f t="shared" si="0"/>
        <v>38</v>
      </c>
      <c r="B40" s="83">
        <v>-0.51427084226931397</v>
      </c>
      <c r="C40" s="84">
        <v>0.19532705099202652</v>
      </c>
      <c r="D40" s="85">
        <v>-6.4534464293796667E-2</v>
      </c>
      <c r="F40" s="36" t="str">
        <v>DOW</v>
      </c>
      <c r="G40" s="13">
        <v>0.74949769905998309</v>
      </c>
      <c r="H40" s="13">
        <v>0.87489044034950136</v>
      </c>
      <c r="I40" s="13">
        <v>0.99999999999999989</v>
      </c>
      <c r="K40" s="2"/>
      <c r="L40" s="100">
        <v>-0.29595221174931852</v>
      </c>
      <c r="M40" s="101">
        <v>0.30369809080531435</v>
      </c>
      <c r="N40" s="102">
        <v>0.35633076086862348</v>
      </c>
    </row>
    <row r="41" spans="1:14" x14ac:dyDescent="0.25">
      <c r="A41" s="80">
        <f t="shared" si="0"/>
        <v>39</v>
      </c>
      <c r="B41" s="83">
        <v>1.0840042565323391</v>
      </c>
      <c r="C41" s="84">
        <v>0.9964975424776622</v>
      </c>
      <c r="D41" s="85">
        <v>0.46552096109771274</v>
      </c>
      <c r="J41" s="2"/>
      <c r="K41" s="2"/>
      <c r="L41" s="100">
        <v>1.4216057616280686</v>
      </c>
      <c r="M41" s="101">
        <v>0.49541756811514587</v>
      </c>
      <c r="N41" s="102">
        <v>-0.34406516428482176</v>
      </c>
    </row>
    <row r="42" spans="1:14" x14ac:dyDescent="0.25">
      <c r="A42" s="80">
        <f t="shared" si="0"/>
        <v>40</v>
      </c>
      <c r="B42" s="83">
        <v>-0.75246838181517894</v>
      </c>
      <c r="C42" s="84">
        <v>-2.0350563319871493</v>
      </c>
      <c r="D42" s="85">
        <v>9.743829165088376E-2</v>
      </c>
      <c r="J42" s="2"/>
      <c r="K42" s="2"/>
      <c r="L42" s="100">
        <v>-1.2871006585676121</v>
      </c>
      <c r="M42" s="101">
        <v>-1.7149871335167763</v>
      </c>
      <c r="N42" s="102">
        <v>0.34546806981126144</v>
      </c>
    </row>
    <row r="43" spans="1:14" x14ac:dyDescent="0.25">
      <c r="A43" s="80">
        <f t="shared" si="0"/>
        <v>41</v>
      </c>
      <c r="B43" s="83">
        <v>0.24544086717489505</v>
      </c>
      <c r="C43" s="84">
        <v>1.6526870605200439</v>
      </c>
      <c r="D43" s="85">
        <v>1.0712072281528502</v>
      </c>
      <c r="J43" s="2"/>
      <c r="K43" s="2"/>
      <c r="L43" s="100">
        <v>1.5265101974765964</v>
      </c>
      <c r="M43" s="101">
        <v>1.0154270950047013</v>
      </c>
      <c r="N43" s="102">
        <v>0.7601151864468545</v>
      </c>
    </row>
    <row r="44" spans="1:14" x14ac:dyDescent="0.25">
      <c r="A44" s="80">
        <f t="shared" si="0"/>
        <v>42</v>
      </c>
      <c r="B44" s="83">
        <v>-2.9008451225725755E-2</v>
      </c>
      <c r="C44" s="84">
        <v>0.95731247113021933</v>
      </c>
      <c r="D44" s="85">
        <v>-0.19001121565532803</v>
      </c>
      <c r="J44" s="2"/>
      <c r="K44" s="2"/>
      <c r="L44" s="100">
        <v>0.2637420104659508</v>
      </c>
      <c r="M44" s="101">
        <v>0.93993202540982446</v>
      </c>
      <c r="N44" s="102">
        <v>1.8996294984582801E-2</v>
      </c>
    </row>
    <row r="45" spans="1:14" x14ac:dyDescent="0.25">
      <c r="A45" s="80">
        <f t="shared" si="0"/>
        <v>43</v>
      </c>
      <c r="B45" s="83">
        <v>1.1501123112369493</v>
      </c>
      <c r="C45" s="84">
        <v>0.77370282515755628</v>
      </c>
      <c r="D45" s="85">
        <v>0.12070753687638465</v>
      </c>
      <c r="J45" s="2"/>
      <c r="K45" s="2"/>
      <c r="L45" s="100">
        <v>1.1552739539417436</v>
      </c>
      <c r="M45" s="101">
        <v>0.41715716112948609</v>
      </c>
      <c r="N45" s="102">
        <v>-0.65365640349999143</v>
      </c>
    </row>
    <row r="46" spans="1:14" x14ac:dyDescent="0.25">
      <c r="A46" s="80">
        <f t="shared" si="0"/>
        <v>44</v>
      </c>
      <c r="B46" s="83">
        <v>0.81064940121078166</v>
      </c>
      <c r="C46" s="84">
        <v>-0.39450564274243022</v>
      </c>
      <c r="D46" s="85">
        <v>0.17905312303003432</v>
      </c>
      <c r="J46" s="2"/>
      <c r="K46" s="2"/>
      <c r="L46" s="100">
        <v>0.47863068642805395</v>
      </c>
      <c r="M46" s="101">
        <v>-0.5867881060494553</v>
      </c>
      <c r="N46" s="102">
        <v>-0.52099861738216569</v>
      </c>
    </row>
    <row r="47" spans="1:14" x14ac:dyDescent="0.25">
      <c r="A47" s="80">
        <f t="shared" si="0"/>
        <v>45</v>
      </c>
      <c r="B47" s="83">
        <v>-0.52330539345454841</v>
      </c>
      <c r="C47" s="84">
        <v>-1.4888957006916763</v>
      </c>
      <c r="D47" s="85">
        <v>0.44145533227574429</v>
      </c>
      <c r="J47" s="2"/>
      <c r="K47" s="2"/>
      <c r="L47" s="100">
        <v>-0.69173508945822193</v>
      </c>
      <c r="M47" s="101">
        <v>-1.4051662035365065</v>
      </c>
      <c r="N47" s="102">
        <v>0.48223672527348299</v>
      </c>
    </row>
    <row r="48" spans="1:14" x14ac:dyDescent="0.25">
      <c r="A48" s="80">
        <f t="shared" si="0"/>
        <v>46</v>
      </c>
      <c r="B48" s="83">
        <v>1.1924817383948783</v>
      </c>
      <c r="C48" s="84">
        <v>0.68838696590763027</v>
      </c>
      <c r="D48" s="85">
        <v>0.61903951117340839</v>
      </c>
      <c r="J48" s="2"/>
      <c r="K48" s="2"/>
      <c r="L48" s="100">
        <v>1.4596902635700557</v>
      </c>
      <c r="M48" s="101">
        <v>0.13686504313957198</v>
      </c>
      <c r="N48" s="102">
        <v>-0.36009932245948656</v>
      </c>
    </row>
    <row r="49" spans="1:14" x14ac:dyDescent="0.25">
      <c r="A49" s="80">
        <f t="shared" si="0"/>
        <v>47</v>
      </c>
      <c r="B49" s="83">
        <v>-0.87384236337583043</v>
      </c>
      <c r="C49" s="84">
        <v>-0.14730967711759743</v>
      </c>
      <c r="D49" s="85">
        <v>-0.57002371998568413</v>
      </c>
      <c r="J49" s="2"/>
      <c r="K49" s="2"/>
      <c r="L49" s="100">
        <v>-0.99268973942547034</v>
      </c>
      <c r="M49" s="101">
        <v>0.26601575728723303</v>
      </c>
      <c r="N49" s="102">
        <v>0.23244430830492924</v>
      </c>
    </row>
    <row r="50" spans="1:14" x14ac:dyDescent="0.25">
      <c r="A50" s="80">
        <f t="shared" si="0"/>
        <v>48</v>
      </c>
      <c r="B50" s="83">
        <v>0.50202806376020936</v>
      </c>
      <c r="C50" s="84">
        <v>0.38876615579393298</v>
      </c>
      <c r="D50" s="85">
        <v>2.6114474045114338E-2</v>
      </c>
      <c r="J50" s="2"/>
      <c r="K50" s="2"/>
      <c r="L50" s="100">
        <v>0.50904901701153371</v>
      </c>
      <c r="M50" s="101">
        <v>0.23833697898438325</v>
      </c>
      <c r="N50" s="102">
        <v>-0.29650944196847995</v>
      </c>
    </row>
    <row r="51" spans="1:14" x14ac:dyDescent="0.25">
      <c r="A51" s="80">
        <f t="shared" si="0"/>
        <v>49</v>
      </c>
      <c r="B51" s="83">
        <v>1.2319377196813965</v>
      </c>
      <c r="C51" s="84">
        <v>-0.38547926611390709</v>
      </c>
      <c r="D51" s="85">
        <v>0.4224565889006538</v>
      </c>
      <c r="J51" s="2"/>
      <c r="K51" s="2"/>
      <c r="L51" s="100">
        <v>0.91149712331548605</v>
      </c>
      <c r="M51" s="101">
        <v>-0.75840568933432095</v>
      </c>
      <c r="N51" s="102">
        <v>-0.66236559682400331</v>
      </c>
    </row>
    <row r="52" spans="1:14" x14ac:dyDescent="0.25">
      <c r="A52" s="80">
        <f t="shared" si="0"/>
        <v>50</v>
      </c>
      <c r="B52" s="83">
        <v>-0.2725447970260676</v>
      </c>
      <c r="C52" s="84">
        <v>1.5288471045857436E-2</v>
      </c>
      <c r="D52" s="85">
        <v>6.7084398849121107E-3</v>
      </c>
      <c r="J52" s="2"/>
      <c r="K52" s="2"/>
      <c r="L52" s="100">
        <v>-0.16823626629377381</v>
      </c>
      <c r="M52" s="101">
        <v>6.5694034046575339E-2</v>
      </c>
      <c r="N52" s="102">
        <v>0.20479321153985475</v>
      </c>
    </row>
    <row r="53" spans="1:14" x14ac:dyDescent="0.25">
      <c r="A53" s="80">
        <f t="shared" si="0"/>
        <v>51</v>
      </c>
      <c r="B53" s="83">
        <v>-0.47050651236374197</v>
      </c>
      <c r="C53" s="84">
        <v>-8.2587493880992596E-2</v>
      </c>
      <c r="D53" s="85">
        <v>-0.22671998844984687</v>
      </c>
      <c r="J53" s="2"/>
      <c r="K53" s="2"/>
      <c r="L53" s="100">
        <v>-0.48558975948962357</v>
      </c>
      <c r="M53" s="101">
        <v>0.10888135307080028</v>
      </c>
      <c r="N53" s="102">
        <v>0.17873573206612883</v>
      </c>
    </row>
    <row r="54" spans="1:14" x14ac:dyDescent="0.25">
      <c r="A54" s="80">
        <f t="shared" si="0"/>
        <v>52</v>
      </c>
      <c r="B54" s="83">
        <v>7.4476695263166276E-2</v>
      </c>
      <c r="C54" s="84">
        <v>0.72878489755731024</v>
      </c>
      <c r="D54" s="85">
        <v>-0.13829643364648206</v>
      </c>
      <c r="J54" s="2"/>
      <c r="K54" s="2"/>
      <c r="L54" s="100">
        <v>0.26813560558921534</v>
      </c>
      <c r="M54" s="101">
        <v>0.69372252337196738</v>
      </c>
      <c r="N54" s="102">
        <v>-5.1502098850557204E-2</v>
      </c>
    </row>
    <row r="55" spans="1:14" x14ac:dyDescent="0.25">
      <c r="A55" s="80">
        <f t="shared" si="0"/>
        <v>53</v>
      </c>
      <c r="B55" s="83">
        <v>1.0959559130805965</v>
      </c>
      <c r="C55" s="84">
        <v>-0.50582601201540311</v>
      </c>
      <c r="D55" s="85">
        <v>0.55684199742016205</v>
      </c>
      <c r="J55" s="2"/>
      <c r="K55" s="2"/>
      <c r="L55" s="100">
        <v>0.85598541170444142</v>
      </c>
      <c r="M55" s="101">
        <v>-0.89187974562247374</v>
      </c>
      <c r="N55" s="102">
        <v>-0.48876561073399533</v>
      </c>
    </row>
    <row r="56" spans="1:14" x14ac:dyDescent="0.25">
      <c r="A56" s="80">
        <f t="shared" si="0"/>
        <v>54</v>
      </c>
      <c r="B56" s="83">
        <v>0.76809397236445109</v>
      </c>
      <c r="C56" s="84">
        <v>-0.70193767603470636</v>
      </c>
      <c r="D56" s="85">
        <v>0.14110320443111402</v>
      </c>
      <c r="J56" s="2"/>
      <c r="K56" s="2"/>
      <c r="L56" s="100">
        <v>0.2978419643099065</v>
      </c>
      <c r="M56" s="101">
        <v>-0.83948337696149244</v>
      </c>
      <c r="N56" s="102">
        <v>-0.5560150985554978</v>
      </c>
    </row>
    <row r="57" spans="1:14" x14ac:dyDescent="0.25">
      <c r="A57" s="80">
        <f t="shared" si="0"/>
        <v>55</v>
      </c>
      <c r="B57" s="83">
        <v>8.7323601023290884E-2</v>
      </c>
      <c r="C57" s="84">
        <v>-0.18453539771862831</v>
      </c>
      <c r="D57" s="85">
        <v>-1.0268148939613683E-2</v>
      </c>
      <c r="J57" s="2"/>
      <c r="K57" s="2"/>
      <c r="L57" s="100">
        <v>-2.6603612826412569E-2</v>
      </c>
      <c r="M57" s="101">
        <v>-0.17918813226570329</v>
      </c>
      <c r="N57" s="102">
        <v>-9.4699631621271207E-2</v>
      </c>
    </row>
    <row r="58" spans="1:14" x14ac:dyDescent="0.25">
      <c r="A58" s="80">
        <f t="shared" si="0"/>
        <v>56</v>
      </c>
      <c r="B58" s="83">
        <v>0.43926508220985744</v>
      </c>
      <c r="C58" s="84">
        <v>0.90087907368288422</v>
      </c>
      <c r="D58" s="85">
        <v>-0.11548247284331729</v>
      </c>
      <c r="J58" s="2"/>
      <c r="K58" s="2"/>
      <c r="L58" s="100">
        <v>0.59408530494028455</v>
      </c>
      <c r="M58" s="101">
        <v>0.76626373679007598</v>
      </c>
      <c r="N58" s="102">
        <v>-0.27888287060536776</v>
      </c>
    </row>
    <row r="59" spans="1:14" x14ac:dyDescent="0.25">
      <c r="A59" s="80">
        <f t="shared" si="0"/>
        <v>57</v>
      </c>
      <c r="B59" s="83">
        <v>-4.3629907379517108E-2</v>
      </c>
      <c r="C59" s="84">
        <v>0.13241825368489835</v>
      </c>
      <c r="D59" s="85">
        <v>4.3953965438118095E-2</v>
      </c>
      <c r="J59" s="2"/>
      <c r="K59" s="2"/>
      <c r="L59" s="100">
        <v>5.4517164292928418E-2</v>
      </c>
      <c r="M59" s="101">
        <v>0.11043899881395416</v>
      </c>
      <c r="N59" s="102">
        <v>7.8747826275192473E-2</v>
      </c>
    </row>
    <row r="60" spans="1:14" x14ac:dyDescent="0.25">
      <c r="A60" s="80">
        <f t="shared" si="0"/>
        <v>58</v>
      </c>
      <c r="B60" s="83">
        <v>0.26062862311156587</v>
      </c>
      <c r="C60" s="84">
        <v>0.20202476427276028</v>
      </c>
      <c r="D60" s="85">
        <v>-0.80703810060925607</v>
      </c>
      <c r="J60" s="2"/>
      <c r="K60" s="2"/>
      <c r="L60" s="100">
        <v>-0.2501157897214602</v>
      </c>
      <c r="M60" s="101">
        <v>0.44532382300464007</v>
      </c>
      <c r="N60" s="102">
        <v>-0.70652711540041613</v>
      </c>
    </row>
    <row r="61" spans="1:14" x14ac:dyDescent="0.25">
      <c r="A61" s="80">
        <f t="shared" si="0"/>
        <v>59</v>
      </c>
      <c r="B61" s="83">
        <v>0.18004509427906928</v>
      </c>
      <c r="C61" s="84">
        <v>1.7744671312331857</v>
      </c>
      <c r="D61" s="85">
        <v>9.4473908623362773E-2</v>
      </c>
      <c r="J61" s="2"/>
      <c r="K61" s="2"/>
      <c r="L61" s="100">
        <v>0.9223579032646515</v>
      </c>
      <c r="M61" s="101">
        <v>1.5204599620179076</v>
      </c>
      <c r="N61" s="102">
        <v>0.16592937472673597</v>
      </c>
    </row>
    <row r="62" spans="1:14" x14ac:dyDescent="0.25">
      <c r="A62" s="80">
        <f t="shared" si="0"/>
        <v>60</v>
      </c>
      <c r="B62" s="83">
        <v>-0.36379952080745676</v>
      </c>
      <c r="C62" s="84">
        <v>-1.8998347526050474</v>
      </c>
      <c r="D62" s="85">
        <v>-0.78174220562219587</v>
      </c>
      <c r="J62" s="2"/>
      <c r="K62" s="2"/>
      <c r="L62" s="100">
        <v>-1.526464042851263</v>
      </c>
      <c r="M62" s="101">
        <v>-1.327044731993303</v>
      </c>
      <c r="N62" s="102">
        <v>-0.51156901759945672</v>
      </c>
    </row>
    <row r="63" spans="1:14" x14ac:dyDescent="0.25">
      <c r="A63" s="80">
        <f t="shared" si="0"/>
        <v>61</v>
      </c>
      <c r="B63" s="83">
        <v>1.2317482637601129</v>
      </c>
      <c r="C63" s="84">
        <v>-0.21531848505768642</v>
      </c>
      <c r="D63" s="85">
        <v>-0.28384829808252743</v>
      </c>
      <c r="J63" s="2"/>
      <c r="K63" s="2"/>
      <c r="L63" s="100">
        <v>0.53999370581913031</v>
      </c>
      <c r="M63" s="101">
        <v>-0.32890921035020665</v>
      </c>
      <c r="N63" s="102">
        <v>-1.1155093996154686</v>
      </c>
    </row>
    <row r="64" spans="1:14" x14ac:dyDescent="0.25">
      <c r="A64" s="80">
        <f t="shared" si="0"/>
        <v>62</v>
      </c>
      <c r="B64" s="83">
        <v>0.52691183817809284</v>
      </c>
      <c r="C64" s="84">
        <v>-6.1815658956578194E-2</v>
      </c>
      <c r="D64" s="85">
        <v>0.22841249046492634</v>
      </c>
      <c r="J64" s="2"/>
      <c r="K64" s="2"/>
      <c r="L64" s="100">
        <v>0.46304303392709301</v>
      </c>
      <c r="M64" s="101">
        <v>-0.25052117071869373</v>
      </c>
      <c r="N64" s="102">
        <v>-0.23761274893862652</v>
      </c>
    </row>
    <row r="65" spans="1:14" x14ac:dyDescent="0.25">
      <c r="A65" s="80">
        <f t="shared" si="0"/>
        <v>63</v>
      </c>
      <c r="B65" s="83">
        <v>0.16829842869428097</v>
      </c>
      <c r="C65" s="84">
        <v>0.70944112926039193</v>
      </c>
      <c r="D65" s="85">
        <v>-0.10563341985049411</v>
      </c>
      <c r="J65" s="2"/>
      <c r="K65" s="2"/>
      <c r="L65" s="100">
        <v>0.34206419118169462</v>
      </c>
      <c r="M65" s="101">
        <v>0.64476464037849734</v>
      </c>
      <c r="N65" s="102">
        <v>-0.10030026921865669</v>
      </c>
    </row>
    <row r="66" spans="1:14" x14ac:dyDescent="0.25">
      <c r="A66" s="80">
        <f t="shared" si="0"/>
        <v>64</v>
      </c>
      <c r="B66" s="83">
        <v>0.86111574243016653</v>
      </c>
      <c r="C66" s="84">
        <v>-0.37700051592475947</v>
      </c>
      <c r="D66" s="85">
        <v>1.2359421114523084</v>
      </c>
      <c r="J66" s="2"/>
      <c r="K66" s="2"/>
      <c r="L66" s="100">
        <v>1.1817147275994209</v>
      </c>
      <c r="M66" s="101">
        <v>-0.99514373952543211</v>
      </c>
      <c r="N66" s="102">
        <v>0.15633890746626977</v>
      </c>
    </row>
    <row r="67" spans="1:14" x14ac:dyDescent="0.25">
      <c r="A67" s="80">
        <f t="shared" si="0"/>
        <v>65</v>
      </c>
      <c r="B67" s="83">
        <v>-0.89809770799558852</v>
      </c>
      <c r="C67" s="84">
        <v>1.0331773030388856</v>
      </c>
      <c r="D67" s="85">
        <v>0.27588271549796622</v>
      </c>
      <c r="J67" s="2"/>
      <c r="K67" s="2"/>
      <c r="L67" s="100">
        <v>1.7334268832633559E-2</v>
      </c>
      <c r="M67" s="101">
        <v>0.99966053088059181</v>
      </c>
      <c r="N67" s="102">
        <v>0.97494843528041897</v>
      </c>
    </row>
    <row r="68" spans="1:14" x14ac:dyDescent="0.25">
      <c r="A68" s="80">
        <f t="shared" si="0"/>
        <v>66</v>
      </c>
      <c r="B68" s="83">
        <v>0.12432239767597418</v>
      </c>
      <c r="C68" s="84">
        <v>0.65835303893364128</v>
      </c>
      <c r="D68" s="85">
        <v>-0.15516238994922082</v>
      </c>
      <c r="J68" s="2"/>
      <c r="K68" s="2"/>
      <c r="L68" s="100">
        <v>0.26070405688547343</v>
      </c>
      <c r="M68" s="101">
        <v>0.62709426637538479</v>
      </c>
      <c r="N68" s="102">
        <v>-0.10838046638759048</v>
      </c>
    </row>
    <row r="69" spans="1:14" x14ac:dyDescent="0.25">
      <c r="A69" s="80">
        <f t="shared" ref="A69:A132" si="3">A68+1</f>
        <v>67</v>
      </c>
      <c r="B69" s="83">
        <v>3.0325196441386177</v>
      </c>
      <c r="C69" s="84">
        <v>1.4937554818844945</v>
      </c>
      <c r="D69" s="85">
        <v>1.8545644719018741</v>
      </c>
      <c r="J69" s="2"/>
      <c r="K69" s="2"/>
      <c r="L69" s="100">
        <v>3.7799639103681004</v>
      </c>
      <c r="M69" s="101">
        <v>7.6066268193636377E-3</v>
      </c>
      <c r="N69" s="102">
        <v>-0.76072674971398113</v>
      </c>
    </row>
    <row r="70" spans="1:14" x14ac:dyDescent="0.25">
      <c r="A70" s="80">
        <f t="shared" si="3"/>
        <v>68</v>
      </c>
      <c r="B70" s="83">
        <v>-1.3162623614625772</v>
      </c>
      <c r="C70" s="84">
        <v>-0.52168237082605406</v>
      </c>
      <c r="D70" s="85">
        <v>-1.7525999348144761</v>
      </c>
      <c r="J70" s="2"/>
      <c r="K70" s="2"/>
      <c r="L70" s="100">
        <v>-2.1816203527903153</v>
      </c>
      <c r="M70" s="101">
        <v>0.48163301377343049</v>
      </c>
      <c r="N70" s="102">
        <v>-0.29132097088953457</v>
      </c>
    </row>
    <row r="71" spans="1:14" x14ac:dyDescent="0.25">
      <c r="A71" s="80">
        <f t="shared" si="3"/>
        <v>69</v>
      </c>
      <c r="B71" s="83">
        <v>-1.4067415162500845</v>
      </c>
      <c r="C71" s="84">
        <v>-1.5386867420175474</v>
      </c>
      <c r="D71" s="85">
        <v>-1.601157577385796</v>
      </c>
      <c r="J71" s="2"/>
      <c r="K71" s="2"/>
      <c r="L71" s="100">
        <v>-2.5730185193080466</v>
      </c>
      <c r="M71" s="101">
        <v>-0.47286343884953808</v>
      </c>
      <c r="N71" s="102">
        <v>-0.25721593791857134</v>
      </c>
    </row>
    <row r="72" spans="1:14" x14ac:dyDescent="0.25">
      <c r="A72" s="80">
        <f t="shared" si="3"/>
        <v>70</v>
      </c>
      <c r="B72" s="83">
        <v>-1.2461785604098594</v>
      </c>
      <c r="C72" s="84">
        <v>-0.53796940069597454</v>
      </c>
      <c r="D72" s="85">
        <v>-0.3606022694932956</v>
      </c>
      <c r="J72" s="2"/>
      <c r="K72" s="2"/>
      <c r="L72" s="100">
        <v>-1.2697528787126751</v>
      </c>
      <c r="M72" s="101">
        <v>-9.2255431372266217E-2</v>
      </c>
      <c r="N72" s="102">
        <v>0.59297777332483781</v>
      </c>
    </row>
    <row r="73" spans="1:14" x14ac:dyDescent="0.25">
      <c r="A73" s="80">
        <f t="shared" si="3"/>
        <v>71</v>
      </c>
      <c r="B73" s="83">
        <v>0.14607351608628538</v>
      </c>
      <c r="C73" s="84">
        <v>-0.65597337491773966</v>
      </c>
      <c r="D73" s="85">
        <v>-7.6816590051198286E-2</v>
      </c>
      <c r="J73" s="2"/>
      <c r="K73" s="2"/>
      <c r="L73" s="100">
        <v>-0.2276936447320613</v>
      </c>
      <c r="M73" s="101">
        <v>-0.58825632206175349</v>
      </c>
      <c r="N73" s="102">
        <v>-0.24423233388083973</v>
      </c>
    </row>
    <row r="74" spans="1:14" x14ac:dyDescent="0.25">
      <c r="A74" s="80">
        <f t="shared" si="3"/>
        <v>72</v>
      </c>
      <c r="B74" s="83">
        <v>-1.0220260761624946</v>
      </c>
      <c r="C74" s="84">
        <v>-1.103059734239386</v>
      </c>
      <c r="D74" s="85">
        <v>-1.0687275598872423</v>
      </c>
      <c r="J74" s="2"/>
      <c r="K74" s="2"/>
      <c r="L74" s="100">
        <v>-1.8038495971358248</v>
      </c>
      <c r="M74" s="101">
        <v>-0.36726161379438105</v>
      </c>
      <c r="N74" s="102">
        <v>-0.12125268188777594</v>
      </c>
    </row>
    <row r="75" spans="1:14" x14ac:dyDescent="0.25">
      <c r="A75" s="80">
        <f t="shared" si="3"/>
        <v>73</v>
      </c>
      <c r="B75" s="83">
        <v>-0.27724905422970714</v>
      </c>
      <c r="C75" s="84">
        <v>0.86280865607980306</v>
      </c>
      <c r="D75" s="85">
        <v>0.59153646195381449</v>
      </c>
      <c r="J75" s="2"/>
      <c r="K75" s="2"/>
      <c r="L75" s="100">
        <v>0.55114667783273086</v>
      </c>
      <c r="M75" s="101">
        <v>0.59866825487657227</v>
      </c>
      <c r="N75" s="102">
        <v>0.71348080633982236</v>
      </c>
    </row>
    <row r="76" spans="1:14" x14ac:dyDescent="0.25">
      <c r="A76" s="80">
        <f t="shared" si="3"/>
        <v>74</v>
      </c>
      <c r="B76" s="83">
        <v>0.92391645976249659</v>
      </c>
      <c r="C76" s="84">
        <v>-0.46998176596236901</v>
      </c>
      <c r="D76" s="85">
        <v>5.6889458853833091E-2</v>
      </c>
      <c r="J76" s="2"/>
      <c r="K76" s="2"/>
      <c r="L76" s="100">
        <v>0.44468608435374263</v>
      </c>
      <c r="M76" s="101">
        <v>-0.62940639990445046</v>
      </c>
      <c r="N76" s="102">
        <v>-0.69558807179774773</v>
      </c>
    </row>
    <row r="77" spans="1:14" x14ac:dyDescent="0.25">
      <c r="A77" s="80">
        <f t="shared" si="3"/>
        <v>75</v>
      </c>
      <c r="B77" s="83">
        <v>0.6044293942185327</v>
      </c>
      <c r="C77" s="84">
        <v>1.2905136235565211</v>
      </c>
      <c r="D77" s="85">
        <v>0.27899038810996885</v>
      </c>
      <c r="J77" s="2"/>
      <c r="K77" s="2"/>
      <c r="L77" s="100">
        <v>1.1133702255373674</v>
      </c>
      <c r="M77" s="101">
        <v>0.92857576085014193</v>
      </c>
      <c r="N77" s="102">
        <v>-8.2156795741847699E-2</v>
      </c>
    </row>
    <row r="78" spans="1:14" x14ac:dyDescent="0.25">
      <c r="A78" s="80">
        <f t="shared" si="3"/>
        <v>76</v>
      </c>
      <c r="B78" s="83">
        <v>-0.15895095939834647</v>
      </c>
      <c r="C78" s="84">
        <v>2.0990291891315609</v>
      </c>
      <c r="D78" s="85">
        <v>0.21319097055953418</v>
      </c>
      <c r="J78" s="2"/>
      <c r="K78" s="2"/>
      <c r="L78" s="100">
        <v>0.91057765906338772</v>
      </c>
      <c r="M78" s="101">
        <v>1.8333299749937531</v>
      </c>
      <c r="N78" s="102">
        <v>0.53515312187458564</v>
      </c>
    </row>
    <row r="79" spans="1:14" x14ac:dyDescent="0.25">
      <c r="A79" s="80">
        <f t="shared" si="3"/>
        <v>77</v>
      </c>
      <c r="B79" s="83">
        <v>0.93975268829032232</v>
      </c>
      <c r="C79" s="84">
        <v>0.97899796049276444</v>
      </c>
      <c r="D79" s="85">
        <v>0.70446855120556784</v>
      </c>
      <c r="J79" s="2"/>
      <c r="K79" s="2"/>
      <c r="L79" s="100">
        <v>1.4694002221952775</v>
      </c>
      <c r="M79" s="101">
        <v>0.41500461286049345</v>
      </c>
      <c r="N79" s="102">
        <v>-8.0512233558218627E-2</v>
      </c>
    </row>
    <row r="80" spans="1:14" x14ac:dyDescent="0.25">
      <c r="A80" s="80">
        <f t="shared" si="3"/>
        <v>78</v>
      </c>
      <c r="B80" s="83">
        <v>0.14506900107011209</v>
      </c>
      <c r="C80" s="84">
        <v>1.0129049323261434</v>
      </c>
      <c r="D80" s="85">
        <v>-1.608164219218124E-2</v>
      </c>
      <c r="J80" s="2"/>
      <c r="K80" s="2"/>
      <c r="L80" s="100">
        <v>0.5103666217840257</v>
      </c>
      <c r="M80" s="101">
        <v>0.88686169900276735</v>
      </c>
      <c r="N80" s="102">
        <v>1.6801024623315855E-2</v>
      </c>
    </row>
    <row r="81" spans="1:14" x14ac:dyDescent="0.25">
      <c r="A81" s="80">
        <f t="shared" si="3"/>
        <v>79</v>
      </c>
      <c r="B81" s="83">
        <v>0.58061006635274381</v>
      </c>
      <c r="C81" s="84">
        <v>1.5128161144916199</v>
      </c>
      <c r="D81" s="85">
        <v>0.89419784456628915</v>
      </c>
      <c r="J81" s="2"/>
      <c r="K81" s="2"/>
      <c r="L81" s="100">
        <v>1.5767711867571699</v>
      </c>
      <c r="M81" s="101">
        <v>0.89201431215106419</v>
      </c>
      <c r="N81" s="102">
        <v>0.37869977841650226</v>
      </c>
    </row>
    <row r="82" spans="1:14" x14ac:dyDescent="0.25">
      <c r="A82" s="80">
        <f t="shared" si="3"/>
        <v>80</v>
      </c>
      <c r="B82" s="83">
        <v>1.3380378939916651</v>
      </c>
      <c r="C82" s="84">
        <v>0.85372758639597024</v>
      </c>
      <c r="D82" s="85">
        <v>0.97374915348783642</v>
      </c>
      <c r="J82" s="2"/>
      <c r="K82" s="2"/>
      <c r="L82" s="100">
        <v>1.8470127250964454</v>
      </c>
      <c r="M82" s="101">
        <v>0.11725624322010197</v>
      </c>
      <c r="N82" s="102">
        <v>-0.20537423939513211</v>
      </c>
    </row>
    <row r="83" spans="1:14" x14ac:dyDescent="0.25">
      <c r="A83" s="80">
        <f t="shared" si="3"/>
        <v>81</v>
      </c>
      <c r="B83" s="83">
        <v>-0.84556663296572288</v>
      </c>
      <c r="C83" s="84">
        <v>-0.17170380094560392</v>
      </c>
      <c r="D83" s="85">
        <v>-0.98539032463070397</v>
      </c>
      <c r="J83" s="2"/>
      <c r="K83" s="2"/>
      <c r="L83" s="100">
        <v>-1.2447885940938512</v>
      </c>
      <c r="M83" s="101">
        <v>0.40113798669742456</v>
      </c>
      <c r="N83" s="102">
        <v>-7.1055538574774535E-2</v>
      </c>
    </row>
    <row r="84" spans="1:14" x14ac:dyDescent="0.25">
      <c r="A84" s="80">
        <f t="shared" si="3"/>
        <v>82</v>
      </c>
      <c r="B84" s="83">
        <v>1.9765682719249034</v>
      </c>
      <c r="C84" s="84">
        <v>0.86218317930310751</v>
      </c>
      <c r="D84" s="85">
        <v>1.1306082217335189</v>
      </c>
      <c r="J84" s="2"/>
      <c r="K84" s="2"/>
      <c r="L84" s="100">
        <v>2.3679481738901891</v>
      </c>
      <c r="M84" s="101">
        <v>-6.4490492186586201E-2</v>
      </c>
      <c r="N84" s="102">
        <v>-0.56313350237088122</v>
      </c>
    </row>
    <row r="85" spans="1:14" x14ac:dyDescent="0.25">
      <c r="A85" s="80">
        <f t="shared" si="3"/>
        <v>83</v>
      </c>
      <c r="B85" s="83">
        <v>-1.0223099749611868</v>
      </c>
      <c r="C85" s="84">
        <v>-1.3216321020271524</v>
      </c>
      <c r="D85" s="85">
        <v>-1.0258950751421327</v>
      </c>
      <c r="J85" s="2"/>
      <c r="K85" s="2"/>
      <c r="L85" s="100">
        <v>-1.8689449029339564</v>
      </c>
      <c r="M85" s="101">
        <v>-0.5802665039722219</v>
      </c>
      <c r="N85" s="102">
        <v>-0.12093608799598987</v>
      </c>
    </row>
    <row r="86" spans="1:14" x14ac:dyDescent="0.25">
      <c r="A86" s="80">
        <f t="shared" si="3"/>
        <v>84</v>
      </c>
      <c r="B86" s="83">
        <v>-1.3851297163609531</v>
      </c>
      <c r="C86" s="84">
        <v>-2.3027294106129372</v>
      </c>
      <c r="D86" s="85">
        <v>-1.13844960099977</v>
      </c>
      <c r="J86" s="2"/>
      <c r="K86" s="2"/>
      <c r="L86" s="100">
        <v>-2.5895075653969801</v>
      </c>
      <c r="M86" s="101">
        <v>-1.3445625725509083</v>
      </c>
      <c r="N86" s="102">
        <v>-6.1778806330377467E-2</v>
      </c>
    </row>
    <row r="87" spans="1:14" x14ac:dyDescent="0.25">
      <c r="A87" s="80">
        <f t="shared" si="3"/>
        <v>85</v>
      </c>
      <c r="B87" s="83">
        <v>0.90529578972812685</v>
      </c>
      <c r="C87" s="84">
        <v>0.13415135089757341</v>
      </c>
      <c r="D87" s="85">
        <v>0.24048953744726495</v>
      </c>
      <c r="J87" s="2"/>
      <c r="K87" s="2"/>
      <c r="L87" s="100">
        <v>0.80120596082022111</v>
      </c>
      <c r="M87" s="101">
        <v>-0.15505917023336152</v>
      </c>
      <c r="N87" s="102">
        <v>-0.47897591958406843</v>
      </c>
    </row>
    <row r="88" spans="1:14" x14ac:dyDescent="0.25">
      <c r="A88" s="80">
        <f t="shared" si="3"/>
        <v>86</v>
      </c>
      <c r="B88" s="83">
        <v>0.71313414511553552</v>
      </c>
      <c r="C88" s="84">
        <v>0.53458440627202053</v>
      </c>
      <c r="D88" s="85">
        <v>0.29844325084370704</v>
      </c>
      <c r="J88" s="2"/>
      <c r="K88" s="2"/>
      <c r="L88" s="100">
        <v>0.87954470774325011</v>
      </c>
      <c r="M88" s="101">
        <v>0.22033380620949641</v>
      </c>
      <c r="N88" s="102">
        <v>-0.24751422434904835</v>
      </c>
    </row>
    <row r="89" spans="1:14" x14ac:dyDescent="0.25">
      <c r="A89" s="80">
        <f t="shared" si="3"/>
        <v>87</v>
      </c>
      <c r="B89" s="83">
        <v>0.64533285784292482</v>
      </c>
      <c r="C89" s="84">
        <v>0.21210063567620854</v>
      </c>
      <c r="D89" s="85">
        <v>0.26018107180801631</v>
      </c>
      <c r="J89" s="2"/>
      <c r="K89" s="2"/>
      <c r="L89" s="100">
        <v>0.67567319034084772</v>
      </c>
      <c r="M89" s="101">
        <v>-4.0699223097592094E-2</v>
      </c>
      <c r="N89" s="102">
        <v>-0.26635442606986937</v>
      </c>
    </row>
    <row r="90" spans="1:14" x14ac:dyDescent="0.25">
      <c r="A90" s="80">
        <f t="shared" si="3"/>
        <v>88</v>
      </c>
      <c r="B90" s="83">
        <v>-0.16049081307056196</v>
      </c>
      <c r="C90" s="84">
        <v>-1.3016816150544051</v>
      </c>
      <c r="D90" s="85">
        <v>-0.2643869303231472</v>
      </c>
      <c r="J90" s="2"/>
      <c r="K90" s="2"/>
      <c r="L90" s="100">
        <v>-0.81756345367169325</v>
      </c>
      <c r="M90" s="101">
        <v>-1.0332480523150172</v>
      </c>
      <c r="N90" s="102">
        <v>-0.23242469443677496</v>
      </c>
    </row>
    <row r="91" spans="1:14" x14ac:dyDescent="0.25">
      <c r="A91" s="80">
        <f t="shared" si="3"/>
        <v>89</v>
      </c>
      <c r="B91" s="83">
        <v>-0.4119731666305198</v>
      </c>
      <c r="C91" s="84">
        <v>-2.0848198179520279</v>
      </c>
      <c r="D91" s="85">
        <v>-0.10676254516226714</v>
      </c>
      <c r="J91" s="2"/>
      <c r="K91" s="2"/>
      <c r="L91" s="100">
        <v>-1.2125624418672127</v>
      </c>
      <c r="M91" s="101">
        <v>-1.7478969082715119</v>
      </c>
      <c r="N91" s="102">
        <v>-4.6287439187567961E-2</v>
      </c>
    </row>
    <row r="92" spans="1:14" x14ac:dyDescent="0.25">
      <c r="A92" s="80">
        <f t="shared" si="3"/>
        <v>90</v>
      </c>
      <c r="B92" s="83">
        <v>0.71510849938192156</v>
      </c>
      <c r="C92" s="84">
        <v>1.0295638515354104</v>
      </c>
      <c r="D92" s="85">
        <v>1.3819489140014933</v>
      </c>
      <c r="J92" s="2"/>
      <c r="K92" s="2"/>
      <c r="L92" s="100">
        <v>1.7679496964495347</v>
      </c>
      <c r="M92" s="101">
        <v>0.24005313179919596</v>
      </c>
      <c r="N92" s="102">
        <v>0.54579580057380006</v>
      </c>
    </row>
    <row r="93" spans="1:14" x14ac:dyDescent="0.25">
      <c r="A93" s="80">
        <f t="shared" si="3"/>
        <v>91</v>
      </c>
      <c r="B93" s="83">
        <v>-0.63791337800674319</v>
      </c>
      <c r="C93" s="84">
        <v>0.8378695070763843</v>
      </c>
      <c r="D93" s="85">
        <v>-0.91262553046294803</v>
      </c>
      <c r="J93" s="2"/>
      <c r="K93" s="2"/>
      <c r="L93" s="100">
        <v>-0.6390468388763989</v>
      </c>
      <c r="M93" s="101">
        <v>1.2376720602204581</v>
      </c>
      <c r="N93" s="102">
        <v>-4.0387580428924874E-2</v>
      </c>
    </row>
    <row r="94" spans="1:14" x14ac:dyDescent="0.25">
      <c r="A94" s="80">
        <f t="shared" si="3"/>
        <v>92</v>
      </c>
      <c r="B94" s="83">
        <v>0.53934903402088841</v>
      </c>
      <c r="C94" s="84">
        <v>-0.28637188253165702</v>
      </c>
      <c r="D94" s="85">
        <v>1.7774293953957048</v>
      </c>
      <c r="J94" s="2"/>
      <c r="K94" s="2"/>
      <c r="L94" s="100">
        <v>1.3480851326267125</v>
      </c>
      <c r="M94" s="101">
        <v>-1.0613970820975933</v>
      </c>
      <c r="N94" s="102">
        <v>0.76698383328872333</v>
      </c>
    </row>
    <row r="95" spans="1:14" x14ac:dyDescent="0.25">
      <c r="A95" s="80">
        <f t="shared" si="3"/>
        <v>93</v>
      </c>
      <c r="B95" s="83">
        <v>4.6818655633711542E-2</v>
      </c>
      <c r="C95" s="84">
        <v>-0.36802304492214749</v>
      </c>
      <c r="D95" s="85">
        <v>-5.9589452821400095E-2</v>
      </c>
      <c r="J95" s="2"/>
      <c r="K95" s="2"/>
      <c r="L95" s="100">
        <v>-0.16114064584966986</v>
      </c>
      <c r="M95" s="101">
        <v>-0.31653413141451103</v>
      </c>
      <c r="N95" s="102">
        <v>-0.12257115036371033</v>
      </c>
    </row>
    <row r="96" spans="1:14" x14ac:dyDescent="0.25">
      <c r="A96" s="80">
        <f t="shared" si="3"/>
        <v>94</v>
      </c>
      <c r="B96" s="83">
        <v>3.4661905996198747</v>
      </c>
      <c r="C96" s="84">
        <v>2.8427134098022451E-2</v>
      </c>
      <c r="D96" s="85">
        <v>2.425849321198887</v>
      </c>
      <c r="J96" s="2"/>
      <c r="K96" s="2"/>
      <c r="L96" s="100">
        <v>3.8075462679302539</v>
      </c>
      <c r="M96" s="101">
        <v>-1.6189347424446479</v>
      </c>
      <c r="N96" s="102">
        <v>-0.88412217554102179</v>
      </c>
    </row>
    <row r="97" spans="1:14" x14ac:dyDescent="0.25">
      <c r="A97" s="80">
        <f t="shared" si="3"/>
        <v>95</v>
      </c>
      <c r="B97" s="83">
        <v>-0.38072487487461998</v>
      </c>
      <c r="C97" s="84">
        <v>5.4364026499314134E-2</v>
      </c>
      <c r="D97" s="85">
        <v>-0.74245842763194436</v>
      </c>
      <c r="J97" s="2"/>
      <c r="K97" s="2"/>
      <c r="L97" s="100">
        <v>-0.69251529579187143</v>
      </c>
      <c r="M97" s="101">
        <v>0.41589125680057698</v>
      </c>
      <c r="N97" s="102">
        <v>-0.21588983787650945</v>
      </c>
    </row>
    <row r="98" spans="1:14" x14ac:dyDescent="0.25">
      <c r="A98" s="80">
        <f t="shared" si="3"/>
        <v>96</v>
      </c>
      <c r="B98" s="83">
        <v>0.11359898505644372</v>
      </c>
      <c r="C98" s="84">
        <v>0.87660096585561487</v>
      </c>
      <c r="D98" s="85">
        <v>0.74726974009343983</v>
      </c>
      <c r="J98" s="2"/>
      <c r="K98" s="2"/>
      <c r="L98" s="100">
        <v>0.91107244409057964</v>
      </c>
      <c r="M98" s="101">
        <v>0.47176703371335549</v>
      </c>
      <c r="N98" s="102">
        <v>0.53584411420140421</v>
      </c>
    </row>
    <row r="99" spans="1:14" x14ac:dyDescent="0.25">
      <c r="A99" s="80">
        <f t="shared" si="3"/>
        <v>97</v>
      </c>
      <c r="B99" s="83">
        <v>2.6106859201236565</v>
      </c>
      <c r="C99" s="84">
        <v>-0.56930142403146944</v>
      </c>
      <c r="D99" s="85">
        <v>7.1885847698468215</v>
      </c>
      <c r="J99" s="2"/>
      <c r="K99" s="2"/>
      <c r="L99" s="100">
        <v>5.9811619026794647</v>
      </c>
      <c r="M99" s="101">
        <v>-3.8498421807882917</v>
      </c>
      <c r="N99" s="102">
        <v>2.8670461376072853</v>
      </c>
    </row>
    <row r="100" spans="1:14" x14ac:dyDescent="0.25">
      <c r="A100" s="80">
        <f t="shared" si="3"/>
        <v>98</v>
      </c>
      <c r="B100" s="83">
        <v>2.5275162446226962</v>
      </c>
      <c r="C100" s="84">
        <v>-5.5673009147814069E-2</v>
      </c>
      <c r="D100" s="85">
        <v>1.4907495773761916</v>
      </c>
      <c r="J100" s="2"/>
      <c r="K100" s="2"/>
      <c r="L100" s="100">
        <v>2.5699627718777425</v>
      </c>
      <c r="M100" s="101">
        <v>-1.1401739877393555</v>
      </c>
      <c r="N100" s="102">
        <v>-0.84206103227229834</v>
      </c>
    </row>
    <row r="101" spans="1:14" x14ac:dyDescent="0.25">
      <c r="A101" s="80">
        <f t="shared" si="3"/>
        <v>99</v>
      </c>
      <c r="B101" s="83">
        <v>-2.5200212905955315</v>
      </c>
      <c r="C101" s="84">
        <v>-2.4294270908036504</v>
      </c>
      <c r="D101" s="85">
        <v>-3.2104126720025108</v>
      </c>
      <c r="J101" s="2"/>
      <c r="K101" s="2"/>
      <c r="L101" s="100">
        <v>-4.6865001348463506</v>
      </c>
      <c r="M101" s="101">
        <v>-0.41946061587865469</v>
      </c>
      <c r="N101" s="102">
        <v>-0.6481836907479166</v>
      </c>
    </row>
    <row r="102" spans="1:14" x14ac:dyDescent="0.25">
      <c r="A102" s="80">
        <f t="shared" si="3"/>
        <v>100</v>
      </c>
      <c r="B102" s="83">
        <v>-1.8503075683510717</v>
      </c>
      <c r="C102" s="84">
        <v>-1.0190412253974963</v>
      </c>
      <c r="D102" s="85">
        <v>-1.9896697175514066</v>
      </c>
      <c r="J102" s="2"/>
      <c r="K102" s="2"/>
      <c r="L102" s="100">
        <v>-2.8895295147890119</v>
      </c>
      <c r="M102" s="101">
        <v>0.23481747905580252</v>
      </c>
      <c r="N102" s="102">
        <v>-0.12786178549916971</v>
      </c>
    </row>
    <row r="103" spans="1:14" x14ac:dyDescent="0.25">
      <c r="A103" s="80">
        <f t="shared" si="3"/>
        <v>101</v>
      </c>
      <c r="B103" s="83">
        <v>-0.68637132392934097</v>
      </c>
      <c r="C103" s="84">
        <v>-0.20450080075053678</v>
      </c>
      <c r="D103" s="85">
        <v>-1.4740532627323182</v>
      </c>
      <c r="J103" s="2"/>
      <c r="K103" s="2"/>
      <c r="L103" s="100">
        <v>-1.4604508208170146</v>
      </c>
      <c r="M103" s="101">
        <v>0.53119936075414576</v>
      </c>
      <c r="N103" s="102">
        <v>-0.52025938944070405</v>
      </c>
    </row>
    <row r="104" spans="1:14" x14ac:dyDescent="0.25">
      <c r="A104" s="80">
        <f t="shared" si="3"/>
        <v>102</v>
      </c>
      <c r="B104" s="83">
        <v>-1.705625573033926</v>
      </c>
      <c r="C104" s="84">
        <v>1.7596959855137004</v>
      </c>
      <c r="D104" s="85">
        <v>-2.5808617259172801</v>
      </c>
      <c r="J104" s="2"/>
      <c r="K104" s="2"/>
      <c r="L104" s="100">
        <v>-1.9986361505472425</v>
      </c>
      <c r="M104" s="101">
        <v>2.9327920683249946</v>
      </c>
      <c r="N104" s="102">
        <v>-0.26593237264530112</v>
      </c>
    </row>
    <row r="105" spans="1:14" x14ac:dyDescent="0.25">
      <c r="A105" s="80">
        <f t="shared" si="3"/>
        <v>103</v>
      </c>
      <c r="B105" s="83">
        <v>-2.3651843829339696</v>
      </c>
      <c r="C105" s="84">
        <v>-1.0966771374159918</v>
      </c>
      <c r="D105" s="85">
        <v>-1.409180682141943</v>
      </c>
      <c r="J105" s="2"/>
      <c r="K105" s="2"/>
      <c r="L105" s="100">
        <v>-2.8960798686258391</v>
      </c>
      <c r="M105" s="101">
        <v>4.0861767967582896E-2</v>
      </c>
      <c r="N105" s="102">
        <v>0.62740721575896508</v>
      </c>
    </row>
    <row r="106" spans="1:14" x14ac:dyDescent="0.25">
      <c r="A106" s="80">
        <f t="shared" si="3"/>
        <v>104</v>
      </c>
      <c r="B106" s="83">
        <v>-1.2409479289710348</v>
      </c>
      <c r="C106" s="84">
        <v>-0.74890836541377814</v>
      </c>
      <c r="D106" s="85">
        <v>-0.57340820115843094</v>
      </c>
      <c r="J106" s="2"/>
      <c r="K106" s="2"/>
      <c r="L106" s="100">
        <v>-1.4882968147441868</v>
      </c>
      <c r="M106" s="101">
        <v>-0.19938024246112707</v>
      </c>
      <c r="N106" s="102">
        <v>0.41812985721954282</v>
      </c>
    </row>
    <row r="107" spans="1:14" x14ac:dyDescent="0.25">
      <c r="A107" s="80">
        <f t="shared" si="3"/>
        <v>105</v>
      </c>
      <c r="B107" s="83">
        <v>0.46203696149491918</v>
      </c>
      <c r="C107" s="84">
        <v>-0.1218875443617405</v>
      </c>
      <c r="D107" s="85">
        <v>9.4329500509864037E-2</v>
      </c>
      <c r="J107" s="2"/>
      <c r="K107" s="2"/>
      <c r="L107" s="100">
        <v>0.31118506302194093</v>
      </c>
      <c r="M107" s="101">
        <v>-0.23895462756496105</v>
      </c>
      <c r="N107" s="102">
        <v>-0.28861275862607749</v>
      </c>
    </row>
    <row r="108" spans="1:14" x14ac:dyDescent="0.25">
      <c r="A108" s="80">
        <f t="shared" si="3"/>
        <v>106</v>
      </c>
      <c r="B108" s="83">
        <v>0.63023508322754029</v>
      </c>
      <c r="C108" s="84">
        <v>-1.993074498228858</v>
      </c>
      <c r="D108" s="85">
        <v>-0.47792220888128145</v>
      </c>
      <c r="J108" s="2"/>
      <c r="K108" s="2"/>
      <c r="L108" s="100">
        <v>-0.72278237104983845</v>
      </c>
      <c r="M108" s="101">
        <v>-1.7288887290588024</v>
      </c>
      <c r="N108" s="102">
        <v>-1.0423441178401758</v>
      </c>
    </row>
    <row r="109" spans="1:14" x14ac:dyDescent="0.25">
      <c r="A109" s="80">
        <f t="shared" si="3"/>
        <v>107</v>
      </c>
      <c r="B109" s="83">
        <v>-1.4954333029499272</v>
      </c>
      <c r="C109" s="84">
        <v>-0.27111393455919169</v>
      </c>
      <c r="D109" s="85">
        <v>-1.1283613186279289</v>
      </c>
      <c r="J109" s="2"/>
      <c r="K109" s="2"/>
      <c r="L109" s="100">
        <v>-1.8026417547505316</v>
      </c>
      <c r="M109" s="101">
        <v>0.49803562575198107</v>
      </c>
      <c r="N109" s="102">
        <v>0.29234570968531226</v>
      </c>
    </row>
    <row r="110" spans="1:14" x14ac:dyDescent="0.25">
      <c r="A110" s="80">
        <f t="shared" si="3"/>
        <v>108</v>
      </c>
      <c r="B110" s="83">
        <v>0.32080907819881055</v>
      </c>
      <c r="C110" s="84">
        <v>-1.0208465379303808</v>
      </c>
      <c r="D110" s="85">
        <v>-5.5055460730466334E-2</v>
      </c>
      <c r="J110" s="2"/>
      <c r="K110" s="2"/>
      <c r="L110" s="100">
        <v>-0.25256225834202373</v>
      </c>
      <c r="M110" s="101">
        <v>-0.95944792873879481</v>
      </c>
      <c r="N110" s="102">
        <v>-0.40465936306413619</v>
      </c>
    </row>
    <row r="111" spans="1:14" x14ac:dyDescent="0.25">
      <c r="A111" s="80">
        <f t="shared" si="3"/>
        <v>109</v>
      </c>
      <c r="B111" s="83">
        <v>1.0680841418198857E-2</v>
      </c>
      <c r="C111" s="84">
        <v>2.0343866627146014</v>
      </c>
      <c r="D111" s="85">
        <v>0.62179033937218686</v>
      </c>
      <c r="J111" s="2"/>
      <c r="K111" s="2"/>
      <c r="L111" s="100">
        <v>1.2509328103030735</v>
      </c>
      <c r="M111" s="101">
        <v>1.581258752214487</v>
      </c>
      <c r="N111" s="102">
        <v>0.67842041728810953</v>
      </c>
    </row>
    <row r="112" spans="1:14" x14ac:dyDescent="0.25">
      <c r="A112" s="80">
        <f t="shared" si="3"/>
        <v>110</v>
      </c>
      <c r="B112" s="83">
        <v>-0.53855637513529153</v>
      </c>
      <c r="C112" s="84">
        <v>-0.71794242160502675</v>
      </c>
      <c r="D112" s="85">
        <v>-0.19745872457536584</v>
      </c>
      <c r="J112" s="2"/>
      <c r="K112" s="2"/>
      <c r="L112" s="100">
        <v>-0.77864269051785928</v>
      </c>
      <c r="M112" s="101">
        <v>-0.45951801924298113</v>
      </c>
      <c r="N112" s="102">
        <v>0.16441711694346695</v>
      </c>
    </row>
    <row r="113" spans="1:14" x14ac:dyDescent="0.25">
      <c r="A113" s="80">
        <f t="shared" si="3"/>
        <v>111</v>
      </c>
      <c r="B113" s="83">
        <v>-0.83574278386504197</v>
      </c>
      <c r="C113" s="84">
        <v>0.3030505131500385</v>
      </c>
      <c r="D113" s="85">
        <v>-0.30534210780020771</v>
      </c>
      <c r="J113" s="2"/>
      <c r="K113" s="2"/>
      <c r="L113" s="100">
        <v>-0.61267071333444434</v>
      </c>
      <c r="M113" s="101">
        <v>0.55915027351042801</v>
      </c>
      <c r="N113" s="102">
        <v>0.44218207308114843</v>
      </c>
    </row>
    <row r="114" spans="1:14" x14ac:dyDescent="0.25">
      <c r="A114" s="80">
        <f t="shared" si="3"/>
        <v>112</v>
      </c>
      <c r="B114" s="83">
        <v>-1.1971776215407672</v>
      </c>
      <c r="C114" s="84">
        <v>-1.9482516614457099</v>
      </c>
      <c r="D114" s="85">
        <v>-0.26635969730997305</v>
      </c>
      <c r="J114" s="2"/>
      <c r="K114" s="2"/>
      <c r="L114" s="100">
        <v>-1.770586050172325</v>
      </c>
      <c r="M114" s="101">
        <v>-1.4054622165497128</v>
      </c>
      <c r="N114" s="102">
        <v>0.43539324636628535</v>
      </c>
    </row>
    <row r="115" spans="1:14" x14ac:dyDescent="0.25">
      <c r="A115" s="80">
        <f t="shared" si="3"/>
        <v>113</v>
      </c>
      <c r="B115" s="83">
        <v>0.14030632070420573</v>
      </c>
      <c r="C115" s="84">
        <v>0.97103188934046381</v>
      </c>
      <c r="D115" s="85">
        <v>-0.51452836381218547</v>
      </c>
      <c r="J115" s="2"/>
      <c r="K115" s="2"/>
      <c r="L115" s="100">
        <v>0.17716077364435046</v>
      </c>
      <c r="M115" s="101">
        <v>1.0454462650869061</v>
      </c>
      <c r="N115" s="102">
        <v>-0.32091182279635722</v>
      </c>
    </row>
    <row r="116" spans="1:14" x14ac:dyDescent="0.25">
      <c r="A116" s="80">
        <f t="shared" si="3"/>
        <v>114</v>
      </c>
      <c r="B116" s="83">
        <v>-1.2824937377185526</v>
      </c>
      <c r="C116" s="84">
        <v>-0.69795902581984626</v>
      </c>
      <c r="D116" s="85">
        <v>-0.66471332158946084</v>
      </c>
      <c r="J116" s="2"/>
      <c r="K116" s="2"/>
      <c r="L116" s="100">
        <v>-1.5514154499154023</v>
      </c>
      <c r="M116" s="101">
        <v>-0.10954147313458856</v>
      </c>
      <c r="N116" s="102">
        <v>0.39356264601265223</v>
      </c>
    </row>
    <row r="117" spans="1:14" x14ac:dyDescent="0.25">
      <c r="A117" s="80">
        <f t="shared" si="3"/>
        <v>115</v>
      </c>
      <c r="B117" s="83">
        <v>-0.35037156293537342</v>
      </c>
      <c r="C117" s="84">
        <v>-0.25095704117450779</v>
      </c>
      <c r="D117" s="85">
        <v>0.26787589034462311</v>
      </c>
      <c r="J117" s="2"/>
      <c r="K117" s="2"/>
      <c r="L117" s="100">
        <v>-0.16734953700562744</v>
      </c>
      <c r="M117" s="101">
        <v>-0.26010907035830622</v>
      </c>
      <c r="N117" s="102">
        <v>0.40228667047033057</v>
      </c>
    </row>
    <row r="118" spans="1:14" x14ac:dyDescent="0.25">
      <c r="A118" s="80">
        <f t="shared" si="3"/>
        <v>116</v>
      </c>
      <c r="B118" s="83">
        <v>0.23919085540553159</v>
      </c>
      <c r="C118" s="84">
        <v>1.5901400337981682</v>
      </c>
      <c r="D118" s="85">
        <v>5.5337630666434434E-2</v>
      </c>
      <c r="J118" s="2"/>
      <c r="K118" s="2"/>
      <c r="L118" s="100">
        <v>0.85925085792647349</v>
      </c>
      <c r="M118" s="101">
        <v>1.3584102544118297</v>
      </c>
      <c r="N118" s="102">
        <v>7.2314518780477455E-2</v>
      </c>
    </row>
    <row r="119" spans="1:14" x14ac:dyDescent="0.25">
      <c r="A119" s="80">
        <f t="shared" si="3"/>
        <v>117</v>
      </c>
      <c r="B119" s="83">
        <v>-0.65562704782196723</v>
      </c>
      <c r="C119" s="84">
        <v>0.11869687719983561</v>
      </c>
      <c r="D119" s="85">
        <v>-0.26442949386699477</v>
      </c>
      <c r="J119" s="2"/>
      <c r="K119" s="2"/>
      <c r="L119" s="100">
        <v>-0.54621437369051962</v>
      </c>
      <c r="M119" s="101">
        <v>0.34149192150680613</v>
      </c>
      <c r="N119" s="102">
        <v>0.3144707573669745</v>
      </c>
    </row>
    <row r="120" spans="1:14" x14ac:dyDescent="0.25">
      <c r="A120" s="80">
        <f t="shared" si="3"/>
        <v>118</v>
      </c>
      <c r="B120" s="83">
        <v>-0.16468161161759312</v>
      </c>
      <c r="C120" s="84">
        <v>0.20081656016237678</v>
      </c>
      <c r="D120" s="85">
        <v>-0.24156637649727897</v>
      </c>
      <c r="J120" s="2"/>
      <c r="K120" s="2"/>
      <c r="L120" s="100">
        <v>-0.17521565392090999</v>
      </c>
      <c r="M120" s="101">
        <v>0.3079440353801674</v>
      </c>
      <c r="N120" s="102">
        <v>-1.6479805499109101E-2</v>
      </c>
    </row>
    <row r="121" spans="1:14" x14ac:dyDescent="0.25">
      <c r="A121" s="80">
        <f t="shared" si="3"/>
        <v>119</v>
      </c>
      <c r="B121" s="83">
        <v>-0.21032545614241416</v>
      </c>
      <c r="C121" s="84">
        <v>6.4267508746008936E-2</v>
      </c>
      <c r="D121" s="85">
        <v>-0.23878157905383252</v>
      </c>
      <c r="J121" s="2"/>
      <c r="K121" s="2"/>
      <c r="L121" s="100">
        <v>-0.26075113144914874</v>
      </c>
      <c r="M121" s="101">
        <v>0.1933705772360807</v>
      </c>
      <c r="N121" s="102">
        <v>6.4806230276051591E-4</v>
      </c>
    </row>
    <row r="122" spans="1:14" x14ac:dyDescent="0.25">
      <c r="A122" s="80">
        <f t="shared" si="3"/>
        <v>120</v>
      </c>
      <c r="B122" s="83">
        <v>0.41603129333351407</v>
      </c>
      <c r="C122" s="84">
        <v>1.0023694152536569</v>
      </c>
      <c r="D122" s="85">
        <v>3.4573609948145803E-2</v>
      </c>
      <c r="J122" s="2"/>
      <c r="K122" s="2"/>
      <c r="L122" s="100">
        <v>0.71552389925326576</v>
      </c>
      <c r="M122" s="101">
        <v>0.80328447805526892</v>
      </c>
      <c r="N122" s="102">
        <v>-0.14758527394844551</v>
      </c>
    </row>
    <row r="123" spans="1:14" x14ac:dyDescent="0.25">
      <c r="A123" s="80">
        <f t="shared" si="3"/>
        <v>121</v>
      </c>
      <c r="B123" s="83">
        <v>0.48039310932035079</v>
      </c>
      <c r="C123" s="84">
        <v>0.99848788941588562</v>
      </c>
      <c r="D123" s="85">
        <v>-0.32703833846885755</v>
      </c>
      <c r="J123" s="2"/>
      <c r="K123" s="2"/>
      <c r="L123" s="100">
        <v>0.52942015636914486</v>
      </c>
      <c r="M123" s="101">
        <v>0.92854457731001938</v>
      </c>
      <c r="N123" s="102">
        <v>-0.4384392153986264</v>
      </c>
    </row>
    <row r="124" spans="1:14" x14ac:dyDescent="0.25">
      <c r="A124" s="80">
        <f t="shared" si="3"/>
        <v>122</v>
      </c>
      <c r="B124" s="83">
        <v>0.69227634814069028</v>
      </c>
      <c r="C124" s="84">
        <v>1.0093702467276489</v>
      </c>
      <c r="D124" s="85">
        <v>0.34915204767735109</v>
      </c>
      <c r="J124" s="2"/>
      <c r="K124" s="2"/>
      <c r="L124" s="100">
        <v>1.0969767493036851</v>
      </c>
      <c r="M124" s="101">
        <v>0.6310226463502504</v>
      </c>
      <c r="N124" s="102">
        <v>-0.13577341732305301</v>
      </c>
    </row>
    <row r="125" spans="1:14" x14ac:dyDescent="0.25">
      <c r="A125" s="80">
        <f t="shared" si="3"/>
        <v>123</v>
      </c>
      <c r="B125" s="83">
        <v>-9.7934352568462821E-2</v>
      </c>
      <c r="C125" s="84">
        <v>-0.73105222831305772</v>
      </c>
      <c r="D125" s="85">
        <v>0.33238379229306514</v>
      </c>
      <c r="J125" s="2"/>
      <c r="K125" s="2"/>
      <c r="L125" s="100">
        <v>-0.16279892194891141</v>
      </c>
      <c r="M125" s="101">
        <v>-0.767080999475658</v>
      </c>
      <c r="N125" s="102">
        <v>0.1989742057888621</v>
      </c>
    </row>
    <row r="126" spans="1:14" x14ac:dyDescent="0.25">
      <c r="A126" s="80">
        <f t="shared" si="3"/>
        <v>124</v>
      </c>
      <c r="B126" s="83">
        <v>0.27395026260978073</v>
      </c>
      <c r="C126" s="84">
        <v>-0.82708669482477848</v>
      </c>
      <c r="D126" s="85">
        <v>0.22823944896743883</v>
      </c>
      <c r="J126" s="2"/>
      <c r="K126" s="2"/>
      <c r="L126" s="100">
        <v>-2.4356556788270617E-2</v>
      </c>
      <c r="M126" s="101">
        <v>-0.88702162668061146</v>
      </c>
      <c r="N126" s="102">
        <v>-0.1543171576572277</v>
      </c>
    </row>
    <row r="127" spans="1:14" x14ac:dyDescent="0.25">
      <c r="A127" s="80">
        <f t="shared" si="3"/>
        <v>125</v>
      </c>
      <c r="B127" s="83">
        <v>-0.21538994658798455</v>
      </c>
      <c r="C127" s="84">
        <v>-0.16912586173214994</v>
      </c>
      <c r="D127" s="85">
        <v>-5.1803349546843437E-2</v>
      </c>
      <c r="J127" s="2"/>
      <c r="K127" s="2"/>
      <c r="L127" s="100">
        <v>-0.24483395628682891</v>
      </c>
      <c r="M127" s="101">
        <v>-8.8446134948096874E-2</v>
      </c>
      <c r="N127" s="102">
        <v>9.9567003991140435E-2</v>
      </c>
    </row>
    <row r="128" spans="1:14" x14ac:dyDescent="0.25">
      <c r="A128" s="80">
        <f t="shared" si="3"/>
        <v>126</v>
      </c>
      <c r="B128" s="83">
        <v>-0.96652353500310439</v>
      </c>
      <c r="C128" s="84">
        <v>1.6000722666504534</v>
      </c>
      <c r="D128" s="85">
        <v>-0.26096257932174111</v>
      </c>
      <c r="J128" s="2"/>
      <c r="K128" s="2"/>
      <c r="L128" s="100">
        <v>-0.1261473816574912</v>
      </c>
      <c r="M128" s="101">
        <v>1.7327302907722844</v>
      </c>
      <c r="N128" s="102">
        <v>0.73772152440214633</v>
      </c>
    </row>
    <row r="129" spans="1:14" x14ac:dyDescent="0.25">
      <c r="A129" s="80">
        <f t="shared" si="3"/>
        <v>127</v>
      </c>
      <c r="B129" s="83">
        <v>8.9821918235663809E-2</v>
      </c>
      <c r="C129" s="84">
        <v>1.2622103689126072</v>
      </c>
      <c r="D129" s="85">
        <v>0.27154580769531972</v>
      </c>
      <c r="J129" s="2"/>
      <c r="K129" s="2"/>
      <c r="L129" s="100">
        <v>0.75910330246814617</v>
      </c>
      <c r="M129" s="101">
        <v>1.0091529320680832</v>
      </c>
      <c r="N129" s="102">
        <v>0.28346543694652215</v>
      </c>
    </row>
    <row r="130" spans="1:14" x14ac:dyDescent="0.25">
      <c r="A130" s="80">
        <f t="shared" si="3"/>
        <v>128</v>
      </c>
      <c r="B130" s="83">
        <v>0.65504929102430287</v>
      </c>
      <c r="C130" s="84">
        <v>-0.2995455098764227</v>
      </c>
      <c r="D130" s="85">
        <v>0.1546286982107283</v>
      </c>
      <c r="J130" s="2"/>
      <c r="K130" s="2"/>
      <c r="L130" s="100">
        <v>0.40107037411813334</v>
      </c>
      <c r="M130" s="101">
        <v>-0.46077673342465808</v>
      </c>
      <c r="N130" s="102">
        <v>-0.41176993261790545</v>
      </c>
    </row>
    <row r="131" spans="1:14" x14ac:dyDescent="0.25">
      <c r="A131" s="80">
        <f t="shared" si="3"/>
        <v>129</v>
      </c>
      <c r="B131" s="83">
        <v>0.34791528232923857</v>
      </c>
      <c r="C131" s="84">
        <v>-4.1596990571565559E-2</v>
      </c>
      <c r="D131" s="85">
        <v>0.72826631034239508</v>
      </c>
      <c r="J131" s="2"/>
      <c r="K131" s="2"/>
      <c r="L131" s="100">
        <v>0.6674458457042407</v>
      </c>
      <c r="M131" s="101">
        <v>-0.39229529273565789</v>
      </c>
      <c r="N131" s="102">
        <v>0.23187845616220049</v>
      </c>
    </row>
    <row r="132" spans="1:14" x14ac:dyDescent="0.25">
      <c r="A132" s="80">
        <f t="shared" si="3"/>
        <v>130</v>
      </c>
      <c r="B132" s="83">
        <v>-1.1736407548698693</v>
      </c>
      <c r="C132" s="84">
        <v>2.11543588398925</v>
      </c>
      <c r="D132" s="85">
        <v>-1.0317629631729679</v>
      </c>
      <c r="J132" s="2"/>
      <c r="K132" s="2"/>
      <c r="L132" s="100">
        <v>-0.52895912049738192</v>
      </c>
      <c r="M132" s="101">
        <v>2.5389404511771527</v>
      </c>
      <c r="N132" s="102">
        <v>0.43705840245366712</v>
      </c>
    </row>
    <row r="133" spans="1:14" x14ac:dyDescent="0.25">
      <c r="A133" s="80">
        <f>A132+1</f>
        <v>131</v>
      </c>
      <c r="B133" s="83">
        <v>0.17847897350728301</v>
      </c>
      <c r="C133" s="84">
        <v>3.6102623869271842E-2</v>
      </c>
      <c r="D133" s="85">
        <v>-0.19762193831369737</v>
      </c>
      <c r="J133" s="2"/>
      <c r="K133" s="2"/>
      <c r="L133" s="100">
        <v>8.3868306241213081E-3</v>
      </c>
      <c r="M133" s="101">
        <v>7.4076535572244667E-2</v>
      </c>
      <c r="N133" s="102">
        <v>-0.25817610634413601</v>
      </c>
    </row>
    <row r="134" spans="1:14" x14ac:dyDescent="0.25">
      <c r="A134" s="80">
        <f>A133+1</f>
        <v>132</v>
      </c>
      <c r="B134" s="83">
        <v>-0.69660481667707774</v>
      </c>
      <c r="C134" s="84">
        <v>-0.75261226588971208</v>
      </c>
      <c r="D134" s="85">
        <v>-0.25364963046519612</v>
      </c>
      <c r="J134" s="2"/>
      <c r="K134" s="2"/>
      <c r="L134" s="100">
        <v>-0.93214800824432875</v>
      </c>
      <c r="M134" s="101">
        <v>-0.436985631341616</v>
      </c>
      <c r="N134" s="102">
        <v>0.23699214575082991</v>
      </c>
    </row>
    <row r="135" spans="1:14" x14ac:dyDescent="0.25">
      <c r="A135" s="81">
        <f>A134+1</f>
        <v>133</v>
      </c>
      <c r="B135" s="86">
        <v>0.66661329831063731</v>
      </c>
      <c r="C135" s="87">
        <v>0.6636262058467095</v>
      </c>
      <c r="D135" s="88">
        <v>-0.10363244409518468</v>
      </c>
      <c r="J135" s="2"/>
      <c r="K135" s="2"/>
      <c r="L135" s="106">
        <v>0.65110915788875945</v>
      </c>
      <c r="M135" s="41">
        <v>0.5030226569498113</v>
      </c>
      <c r="N135" s="107">
        <v>-0.46748025107887797</v>
      </c>
    </row>
  </sheetData>
  <mergeCells count="1">
    <mergeCell ref="A1:D1"/>
  </mergeCells>
  <conditionalFormatting sqref="G7:I9">
    <cfRule type="cellIs" dxfId="2" priority="2" operator="notBetween">
      <formula>-$Q$18</formula>
      <formula>$Q$18</formula>
    </cfRule>
  </conditionalFormatting>
  <conditionalFormatting sqref="Q7:S9">
    <cfRule type="cellIs" dxfId="1" priority="1" operator="notBetween">
      <formula>-$Q$18</formula>
      <formula>$Q$18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A10" sqref="A10"/>
    </sheetView>
  </sheetViews>
  <sheetFormatPr defaultRowHeight="13.2" x14ac:dyDescent="0.25"/>
  <cols>
    <col min="1" max="4" width="15" customWidth="1"/>
  </cols>
  <sheetData>
    <row r="1" spans="1:4" ht="14.4" x14ac:dyDescent="0.3">
      <c r="A1" s="71" t="s">
        <v>36</v>
      </c>
      <c r="B1" s="71" t="s">
        <v>37</v>
      </c>
      <c r="C1" s="71" t="s">
        <v>38</v>
      </c>
      <c r="D1" s="71" t="s">
        <v>39</v>
      </c>
    </row>
    <row r="2" spans="1:4" ht="14.4" x14ac:dyDescent="0.3">
      <c r="A2" s="110">
        <v>1.9068015436940597</v>
      </c>
      <c r="B2" s="110">
        <v>0.65626145585767581</v>
      </c>
      <c r="C2" s="110">
        <v>-0.20030502995909855</v>
      </c>
      <c r="D2" s="110">
        <v>-0.72746051200642381</v>
      </c>
    </row>
    <row r="3" spans="1:4" ht="14.4" x14ac:dyDescent="0.3">
      <c r="A3" s="110">
        <v>0.8173337313771375</v>
      </c>
      <c r="B3" s="110">
        <v>0.4198279505651934</v>
      </c>
      <c r="C3" s="110">
        <v>0.89803177882357577</v>
      </c>
      <c r="D3" s="110">
        <v>0.13146640691520384</v>
      </c>
    </row>
    <row r="4" spans="1:4" ht="14.4" x14ac:dyDescent="0.3">
      <c r="A4" s="110">
        <v>0.27586472492880398</v>
      </c>
      <c r="B4" s="110">
        <v>0.62694927504527298</v>
      </c>
      <c r="C4" s="110">
        <v>-0.3916845914713124</v>
      </c>
      <c r="D4" s="110">
        <v>0.67343729279284614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zoomScale="125" zoomScaleNormal="125" workbookViewId="0">
      <selection activeCell="B18" sqref="B18"/>
    </sheetView>
  </sheetViews>
  <sheetFormatPr defaultRowHeight="13.2" x14ac:dyDescent="0.25"/>
  <cols>
    <col min="1" max="1" width="8.88671875" style="42"/>
    <col min="2" max="2" width="10.6640625" style="42" customWidth="1"/>
    <col min="3" max="16384" width="8.88671875" style="42"/>
  </cols>
  <sheetData>
    <row r="1" spans="1:2" ht="13.8" thickBot="1" x14ac:dyDescent="0.3">
      <c r="A1" s="48"/>
      <c r="B1" s="43" t="s">
        <v>18</v>
      </c>
    </row>
    <row r="2" spans="1:2" x14ac:dyDescent="0.25">
      <c r="A2" s="44">
        <v>1</v>
      </c>
      <c r="B2" s="44">
        <f t="array" ref="B2:B4">'MINITAB OUTPUT'!A2:A4</f>
        <v>1.9068015436940597</v>
      </c>
    </row>
    <row r="3" spans="1:2" x14ac:dyDescent="0.25">
      <c r="A3" s="45">
        <v>2</v>
      </c>
      <c r="B3" s="45">
        <v>0.8173337313771375</v>
      </c>
    </row>
    <row r="4" spans="1:2" ht="13.8" thickBot="1" x14ac:dyDescent="0.3">
      <c r="A4" s="46">
        <v>3</v>
      </c>
      <c r="B4" s="46">
        <v>0.27586472492880398</v>
      </c>
    </row>
    <row r="22" spans="4:8" x14ac:dyDescent="0.25">
      <c r="D22" s="47" t="s">
        <v>30</v>
      </c>
      <c r="E22" s="47"/>
      <c r="F22" s="47" t="s">
        <v>31</v>
      </c>
      <c r="G22" s="47"/>
      <c r="H22" s="47"/>
    </row>
    <row r="24" spans="4:8" x14ac:dyDescent="0.25">
      <c r="D24" s="42">
        <v>0</v>
      </c>
      <c r="E24" s="42">
        <v>1</v>
      </c>
    </row>
    <row r="25" spans="4:8" x14ac:dyDescent="0.25">
      <c r="D25" s="42">
        <v>4</v>
      </c>
      <c r="E25" s="42">
        <v>1</v>
      </c>
    </row>
  </sheetData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8"/>
  <sheetViews>
    <sheetView workbookViewId="0">
      <selection activeCell="J5" sqref="J5"/>
    </sheetView>
  </sheetViews>
  <sheetFormatPr defaultRowHeight="13.2" x14ac:dyDescent="0.25"/>
  <cols>
    <col min="1" max="1" width="5.44140625" style="42" customWidth="1"/>
    <col min="2" max="2" width="12.88671875" style="42" customWidth="1"/>
    <col min="3" max="5" width="7.33203125" style="42" customWidth="1"/>
    <col min="6" max="6" width="8.88671875" style="42"/>
    <col min="7" max="7" width="11.88671875" style="42" customWidth="1"/>
    <col min="8" max="16384" width="8.88671875" style="42"/>
  </cols>
  <sheetData>
    <row r="1" spans="1:19" ht="13.8" thickBot="1" x14ac:dyDescent="0.3"/>
    <row r="2" spans="1:19" ht="13.8" thickBot="1" x14ac:dyDescent="0.3">
      <c r="B2" s="49" t="s">
        <v>32</v>
      </c>
      <c r="C2" s="50" t="s">
        <v>6</v>
      </c>
      <c r="D2" s="51" t="s">
        <v>7</v>
      </c>
      <c r="E2" s="52" t="s">
        <v>9</v>
      </c>
      <c r="G2" s="53"/>
    </row>
    <row r="3" spans="1:19" ht="14.4" x14ac:dyDescent="0.3">
      <c r="A3" s="54" t="s">
        <v>0</v>
      </c>
      <c r="B3" s="55" t="s">
        <v>25</v>
      </c>
      <c r="C3" s="56">
        <f t="array" ref="C3:E5">'PCA Analysis'!G21:I23</f>
        <v>0.90621165836167483</v>
      </c>
      <c r="D3" s="57">
        <v>-0.18108878985832927</v>
      </c>
      <c r="E3" s="58">
        <v>-0.38208281881946698</v>
      </c>
      <c r="G3" s="49"/>
      <c r="O3" s="65"/>
      <c r="P3" s="65"/>
      <c r="Q3" s="65"/>
      <c r="R3" s="65"/>
      <c r="S3" s="65"/>
    </row>
    <row r="4" spans="1:19" ht="14.4" x14ac:dyDescent="0.3">
      <c r="A4" s="66" t="s">
        <v>2</v>
      </c>
      <c r="B4" s="67" t="s">
        <v>26</v>
      </c>
      <c r="C4" s="59">
        <v>0.57972775928314835</v>
      </c>
      <c r="D4" s="60">
        <v>0.81187920300698979</v>
      </c>
      <c r="E4" s="61">
        <v>6.9049872130770157E-2</v>
      </c>
      <c r="G4" s="49"/>
      <c r="O4" s="65"/>
      <c r="P4" s="65"/>
      <c r="Q4" s="65"/>
      <c r="R4" s="65"/>
      <c r="S4" s="65"/>
    </row>
    <row r="5" spans="1:19" ht="15" thickBot="1" x14ac:dyDescent="0.35">
      <c r="A5" s="68" t="s">
        <v>1</v>
      </c>
      <c r="B5" s="69" t="s">
        <v>27</v>
      </c>
      <c r="C5" s="62">
        <v>0.86573535162888149</v>
      </c>
      <c r="D5" s="63">
        <v>-0.35410837506266113</v>
      </c>
      <c r="E5" s="64">
        <v>0.35370829740126047</v>
      </c>
      <c r="O5" s="65"/>
      <c r="P5" s="65"/>
      <c r="Q5" s="65"/>
      <c r="R5" s="65"/>
      <c r="S5" s="65"/>
    </row>
    <row r="8" spans="1:19" x14ac:dyDescent="0.25">
      <c r="C8" s="70" t="s">
        <v>33</v>
      </c>
      <c r="D8" s="70" t="s">
        <v>34</v>
      </c>
    </row>
    <row r="9" spans="1:19" x14ac:dyDescent="0.25">
      <c r="B9" s="42" t="str">
        <f>B3</f>
        <v>PPG</v>
      </c>
      <c r="C9" s="65">
        <f t="array" ref="C9:C11">C3:C5</f>
        <v>0.90621165836167483</v>
      </c>
      <c r="D9" s="65">
        <f t="array" ref="D9:D11">D3:D5</f>
        <v>-0.18108878985832927</v>
      </c>
    </row>
    <row r="10" spans="1:19" x14ac:dyDescent="0.25">
      <c r="B10" s="42" t="str">
        <f t="shared" ref="B10:B11" si="0">B4</f>
        <v>EXXON</v>
      </c>
      <c r="C10" s="65">
        <v>0.57972775928314835</v>
      </c>
      <c r="D10" s="65">
        <v>0.81187920300698979</v>
      </c>
    </row>
    <row r="11" spans="1:19" x14ac:dyDescent="0.25">
      <c r="B11" s="42" t="str">
        <f t="shared" si="0"/>
        <v>DOW</v>
      </c>
      <c r="C11" s="65">
        <v>0.86573535162888149</v>
      </c>
      <c r="D11" s="65">
        <v>-0.35410837506266113</v>
      </c>
    </row>
    <row r="12" spans="1:19" x14ac:dyDescent="0.25">
      <c r="C12" s="65"/>
      <c r="D12" s="65"/>
    </row>
    <row r="13" spans="1:19" x14ac:dyDescent="0.25">
      <c r="C13" s="65"/>
      <c r="D13" s="65"/>
    </row>
    <row r="17" spans="3:5" x14ac:dyDescent="0.25">
      <c r="C17" s="65"/>
      <c r="D17" s="65"/>
      <c r="E17" s="65"/>
    </row>
    <row r="18" spans="3:5" x14ac:dyDescent="0.25">
      <c r="C18" s="65"/>
      <c r="D18" s="65"/>
      <c r="E18" s="65"/>
    </row>
  </sheetData>
  <conditionalFormatting sqref="C3:E5">
    <cfRule type="cellIs" dxfId="0" priority="2" stopIfTrue="1" operator="notBetween">
      <formula>$G$12</formula>
      <formula>-$G$12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PCA Analysis - Template</vt:lpstr>
      <vt:lpstr>PCA Analysis</vt:lpstr>
      <vt:lpstr>MINITAB OUTPUT</vt:lpstr>
      <vt:lpstr>Scree Plot</vt:lpstr>
      <vt:lpstr>Loading Plot</vt:lpstr>
    </vt:vector>
  </TitlesOfParts>
  <Company>GWU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Rene</cp:lastModifiedBy>
  <dcterms:created xsi:type="dcterms:W3CDTF">2005-08-05T13:48:19Z</dcterms:created>
  <dcterms:modified xsi:type="dcterms:W3CDTF">2020-11-12T20:42:33Z</dcterms:modified>
</cp:coreProperties>
</file>