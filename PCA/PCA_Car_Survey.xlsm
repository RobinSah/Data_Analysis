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sters\Fall 2023\Data Analysis for Scientists and Engineers\Project\PCA\"/>
    </mc:Choice>
  </mc:AlternateContent>
  <xr:revisionPtr revIDLastSave="0" documentId="13_ncr:1_{0551B4E8-D5E3-4D50-8A4E-BCD46B1984C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ar Data" sheetId="19" r:id="rId1"/>
    <sheet name="MINITAB EIGEN OUTPUT" sheetId="16" r:id="rId2"/>
    <sheet name="MINITAB SCORE OUTPUT" sheetId="17" r:id="rId3"/>
    <sheet name="Loading Analysis Raw" sheetId="5" r:id="rId4"/>
    <sheet name="SCREE PLOT RAW" sheetId="10" r:id="rId5"/>
    <sheet name="LOADING PLOT" sheetId="12" r:id="rId6"/>
    <sheet name="SCORE PLOT" sheetId="18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8" l="1"/>
  <c r="D27" i="18"/>
  <c r="E26" i="18"/>
  <c r="D26" i="18"/>
  <c r="E25" i="18"/>
  <c r="D25" i="18"/>
  <c r="E24" i="18"/>
  <c r="D24" i="18"/>
  <c r="E23" i="18"/>
  <c r="D23" i="18"/>
  <c r="E22" i="18"/>
  <c r="D22" i="18"/>
  <c r="E21" i="18"/>
  <c r="D21" i="18"/>
  <c r="E20" i="18"/>
  <c r="D20" i="18"/>
  <c r="E19" i="18"/>
  <c r="D19" i="18"/>
  <c r="E18" i="18"/>
  <c r="D18" i="18"/>
  <c r="A4" i="18"/>
  <c r="A5" i="18" s="1"/>
  <c r="A6" i="18" s="1"/>
  <c r="A7" i="18" s="1"/>
  <c r="A8" i="18" s="1"/>
  <c r="A9" i="18" s="1"/>
  <c r="A10" i="18" s="1"/>
  <c r="A11" i="18" s="1"/>
  <c r="A12" i="18" s="1"/>
  <c r="E1" i="18"/>
  <c r="F1" i="18" s="1"/>
  <c r="G1" i="18" s="1"/>
  <c r="H1" i="18" s="1"/>
  <c r="D1" i="18"/>
  <c r="E17" i="12"/>
  <c r="F22" i="12"/>
  <c r="E22" i="12"/>
  <c r="F21" i="12"/>
  <c r="E21" i="12"/>
  <c r="F20" i="12"/>
  <c r="E20" i="12"/>
  <c r="F19" i="12"/>
  <c r="E19" i="12"/>
  <c r="F18" i="12"/>
  <c r="E18" i="12"/>
  <c r="F17" i="12"/>
  <c r="D16" i="5"/>
  <c r="E16" i="5"/>
  <c r="F16" i="5"/>
  <c r="G16" i="5"/>
  <c r="H16" i="5"/>
  <c r="C18" i="5" a="1"/>
  <c r="C18" i="5" s="1"/>
  <c r="C27" i="5" s="1" a="1"/>
  <c r="C27" i="5" s="1"/>
  <c r="C36" i="5" s="1" a="1"/>
  <c r="C36" i="5" s="1"/>
  <c r="D36" i="5" s="1" a="1"/>
  <c r="D36" i="5" s="1"/>
  <c r="E36" i="5" s="1" a="1"/>
  <c r="E36" i="5" s="1"/>
  <c r="F36" i="5" s="1" a="1"/>
  <c r="F36" i="5" s="1"/>
  <c r="G36" i="5" s="1" a="1"/>
  <c r="G36" i="5" s="1"/>
  <c r="H36" i="5" s="1" a="1"/>
  <c r="H36" i="5" s="1"/>
  <c r="H4" i="5"/>
  <c r="G4" i="5"/>
  <c r="F4" i="5"/>
  <c r="E4" i="5"/>
  <c r="D4" i="5"/>
  <c r="C4" i="5"/>
  <c r="D3" i="5"/>
  <c r="H3" i="5"/>
  <c r="G3" i="5"/>
  <c r="F3" i="5"/>
  <c r="E3" i="5"/>
  <c r="C3" i="5"/>
  <c r="I2" i="5"/>
  <c r="C2" i="5" a="1"/>
  <c r="C2" i="5" s="1"/>
  <c r="F22" i="19" l="1"/>
  <c r="F21" i="19"/>
  <c r="F20" i="19"/>
  <c r="F19" i="19"/>
  <c r="F18" i="19"/>
  <c r="F17" i="19"/>
  <c r="L16" i="19"/>
  <c r="K16" i="19"/>
  <c r="J16" i="19"/>
  <c r="I16" i="19"/>
  <c r="H16" i="19"/>
  <c r="G16" i="19"/>
  <c r="O18" i="18" l="1"/>
  <c r="S18" i="18" s="1"/>
  <c r="O17" i="18"/>
  <c r="S17" i="18" s="1"/>
  <c r="O18" i="12"/>
  <c r="S18" i="12" s="1"/>
  <c r="O17" i="12"/>
  <c r="S17" i="12" s="1"/>
  <c r="B19" i="18" l="1"/>
  <c r="B20" i="18" s="1"/>
  <c r="A4" i="17"/>
  <c r="A5" i="17" s="1"/>
  <c r="A6" i="17" s="1"/>
  <c r="A7" i="17" s="1"/>
  <c r="A8" i="17" s="1"/>
  <c r="A9" i="17" s="1"/>
  <c r="A10" i="17" s="1"/>
  <c r="A11" i="17" s="1"/>
  <c r="A12" i="17" s="1"/>
  <c r="D1" i="17"/>
  <c r="E1" i="17" s="1"/>
  <c r="F1" i="17" s="1"/>
  <c r="G1" i="17" s="1"/>
  <c r="H1" i="17" s="1"/>
  <c r="B21" i="18" l="1"/>
  <c r="B22" i="18" l="1"/>
  <c r="B23" i="18" l="1"/>
  <c r="B24" i="18" l="1"/>
  <c r="B25" i="18" l="1"/>
  <c r="B26" i="18" l="1"/>
  <c r="B27" i="18" l="1"/>
  <c r="C18" i="12" l="1"/>
  <c r="C19" i="12" l="1"/>
  <c r="C20" i="12"/>
  <c r="C21" i="12" l="1"/>
  <c r="C22" i="12" l="1"/>
  <c r="A7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<sst xmlns="http://schemas.openxmlformats.org/spreadsheetml/2006/main" count="203" uniqueCount="58">
  <si>
    <t>Total</t>
  </si>
  <si>
    <t>State</t>
  </si>
  <si>
    <t>Z1</t>
  </si>
  <si>
    <t>Z2</t>
  </si>
  <si>
    <t>Z3</t>
  </si>
  <si>
    <t>Z4</t>
  </si>
  <si>
    <t>Z5</t>
  </si>
  <si>
    <t>Z6</t>
  </si>
  <si>
    <t>Eigenvalues</t>
  </si>
  <si>
    <t>Cumulative</t>
  </si>
  <si>
    <t>Loadings</t>
  </si>
  <si>
    <r>
      <t>(Loadings)</t>
    </r>
    <r>
      <rPr>
        <b/>
        <vertAlign val="superscript"/>
        <sz val="10"/>
        <color indexed="10"/>
        <rFont val="Arial"/>
        <family val="2"/>
      </rPr>
      <t>2</t>
    </r>
  </si>
  <si>
    <t>Percentage</t>
  </si>
  <si>
    <t>Raw GSP</t>
  </si>
  <si>
    <t>Cumulative Explained Variance in Individual variables</t>
  </si>
  <si>
    <t>Explained Variance in Individual variables</t>
  </si>
  <si>
    <t>Correlations between original variables Xi and Principal Components Zi</t>
  </si>
  <si>
    <t>X1</t>
  </si>
  <si>
    <t>X2</t>
  </si>
  <si>
    <t>X3</t>
  </si>
  <si>
    <t>X4</t>
  </si>
  <si>
    <t>X5</t>
  </si>
  <si>
    <t>X6</t>
  </si>
  <si>
    <t>Eigen Vectors</t>
  </si>
  <si>
    <t>U1</t>
  </si>
  <si>
    <t>U2</t>
  </si>
  <si>
    <t>U3</t>
  </si>
  <si>
    <t>U4</t>
  </si>
  <si>
    <t>U5</t>
  </si>
  <si>
    <t>U6</t>
  </si>
  <si>
    <t>CONCLUSION?</t>
  </si>
  <si>
    <t>X-Axis</t>
  </si>
  <si>
    <t>Y-Axis</t>
  </si>
  <si>
    <t>Retain possibly two components, perhaps only one</t>
  </si>
  <si>
    <t>First</t>
  </si>
  <si>
    <t>X-Title</t>
  </si>
  <si>
    <t xml:space="preserve"> Principle Component</t>
  </si>
  <si>
    <t>Second</t>
  </si>
  <si>
    <t>Y-Title</t>
  </si>
  <si>
    <t>Third</t>
  </si>
  <si>
    <t>Luxurious</t>
  </si>
  <si>
    <t>Safe</t>
  </si>
  <si>
    <t>Sporty</t>
  </si>
  <si>
    <t>For Family</t>
  </si>
  <si>
    <t>Practical</t>
  </si>
  <si>
    <t>Exciting</t>
  </si>
  <si>
    <t>BMW</t>
  </si>
  <si>
    <t>Ford</t>
  </si>
  <si>
    <t>Infinity</t>
  </si>
  <si>
    <t>Jeep</t>
  </si>
  <si>
    <t>Lexus</t>
  </si>
  <si>
    <t>Chrysler</t>
  </si>
  <si>
    <t>Mercedes</t>
  </si>
  <si>
    <t>Saab</t>
  </si>
  <si>
    <t>Porsche</t>
  </si>
  <si>
    <t>Volvo</t>
  </si>
  <si>
    <t>Eigenvalue</t>
  </si>
  <si>
    <t>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</si>
</sst>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%"/>
    <numFmt numFmtId="166" formatCode="0.00000"/>
    <numFmt numFmtId="167" formatCode="0.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color indexed="10"/>
      <name val="Arial"/>
      <family val="2"/>
    </font>
    <font>
      <b/>
      <vertAlign val="superscript"/>
      <sz val="10"/>
      <color indexed="10"/>
      <name val="Arial"/>
      <family val="2"/>
    </font>
    <font>
      <b/>
      <sz val="10"/>
      <color indexed="4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i/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2" fillId="0" borderId="0"/>
  </cellStyleXfs>
  <cellXfs count="85">
    <xf numFmtId="0" fontId="0" fillId="0" borderId="0" xfId="0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13" xfId="0" applyNumberFormat="1" applyFill="1" applyBorder="1" applyAlignment="1"/>
    <xf numFmtId="2" fontId="0" fillId="0" borderId="5" xfId="0" applyNumberFormat="1" applyFill="1" applyBorder="1" applyAlignment="1"/>
    <xf numFmtId="2" fontId="0" fillId="0" borderId="6" xfId="0" applyNumberFormat="1" applyFill="1" applyBorder="1" applyAlignment="1"/>
    <xf numFmtId="164" fontId="0" fillId="0" borderId="11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5" fillId="0" borderId="0" xfId="0" applyFont="1" applyAlignment="1">
      <alignment horizontal="center"/>
    </xf>
    <xf numFmtId="165" fontId="0" fillId="0" borderId="11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7" xfId="0" applyNumberFormat="1" applyBorder="1"/>
    <xf numFmtId="165" fontId="0" fillId="0" borderId="0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" xfId="0" applyNumberFormat="1" applyBorder="1"/>
    <xf numFmtId="165" fontId="0" fillId="0" borderId="10" xfId="0" applyNumberFormat="1" applyBorder="1"/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67" fontId="0" fillId="0" borderId="3" xfId="0" applyNumberFormat="1" applyBorder="1" applyAlignment="1">
      <alignment horizontal="center"/>
    </xf>
    <xf numFmtId="0" fontId="9" fillId="0" borderId="11" xfId="0" applyFont="1" applyBorder="1" applyAlignment="1">
      <alignment horizontal="center"/>
    </xf>
    <xf numFmtId="2" fontId="7" fillId="0" borderId="0" xfId="0" applyNumberFormat="1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0" fillId="0" borderId="0" xfId="1"/>
    <xf numFmtId="0" fontId="10" fillId="0" borderId="13" xfId="1" applyBorder="1"/>
    <xf numFmtId="0" fontId="10" fillId="0" borderId="5" xfId="1" applyBorder="1"/>
    <xf numFmtId="0" fontId="10" fillId="0" borderId="6" xfId="1" applyBorder="1"/>
    <xf numFmtId="0" fontId="9" fillId="0" borderId="0" xfId="1" applyFont="1"/>
    <xf numFmtId="0" fontId="10" fillId="0" borderId="0" xfId="1" applyAlignment="1">
      <alignment horizontal="center"/>
    </xf>
    <xf numFmtId="0" fontId="10" fillId="0" borderId="2" xfId="1" applyBorder="1" applyAlignment="1">
      <alignment horizontal="center"/>
    </xf>
    <xf numFmtId="0" fontId="10" fillId="0" borderId="3" xfId="1" applyBorder="1" applyAlignment="1">
      <alignment horizontal="center"/>
    </xf>
    <xf numFmtId="1" fontId="10" fillId="0" borderId="0" xfId="1" applyNumberFormat="1" applyAlignment="1">
      <alignment horizontal="center"/>
    </xf>
    <xf numFmtId="164" fontId="10" fillId="0" borderId="11" xfId="1" applyNumberFormat="1" applyBorder="1"/>
    <xf numFmtId="0" fontId="10" fillId="0" borderId="0" xfId="1" applyBorder="1"/>
    <xf numFmtId="166" fontId="8" fillId="0" borderId="4" xfId="1" applyNumberFormat="1" applyFont="1" applyBorder="1" applyAlignment="1">
      <alignment horizontal="center"/>
    </xf>
    <xf numFmtId="166" fontId="12" fillId="0" borderId="5" xfId="1" applyNumberFormat="1" applyFont="1" applyBorder="1" applyAlignment="1" applyProtection="1">
      <alignment horizontal="center"/>
      <protection locked="0"/>
    </xf>
    <xf numFmtId="166" fontId="12" fillId="0" borderId="6" xfId="1" applyNumberFormat="1" applyFont="1" applyBorder="1" applyAlignment="1" applyProtection="1">
      <alignment horizontal="center"/>
      <protection locked="0"/>
    </xf>
    <xf numFmtId="0" fontId="3" fillId="0" borderId="0" xfId="1" applyFont="1"/>
    <xf numFmtId="0" fontId="11" fillId="0" borderId="2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2" fillId="0" borderId="16" xfId="2" applyBorder="1"/>
    <xf numFmtId="0" fontId="2" fillId="0" borderId="0" xfId="2"/>
    <xf numFmtId="0" fontId="11" fillId="0" borderId="16" xfId="2" applyFont="1" applyBorder="1" applyAlignment="1">
      <alignment horizontal="center"/>
    </xf>
    <xf numFmtId="0" fontId="11" fillId="0" borderId="0" xfId="2" applyFont="1" applyAlignment="1">
      <alignment horizontal="center"/>
    </xf>
    <xf numFmtId="0" fontId="2" fillId="0" borderId="0" xfId="2" applyAlignment="1">
      <alignment horizontal="center"/>
    </xf>
    <xf numFmtId="0" fontId="2" fillId="0" borderId="16" xfId="2" applyBorder="1" applyAlignment="1">
      <alignment horizontal="center"/>
    </xf>
    <xf numFmtId="166" fontId="12" fillId="0" borderId="13" xfId="1" applyNumberFormat="1" applyFont="1" applyBorder="1" applyAlignment="1" applyProtection="1">
      <alignment horizontal="center"/>
      <protection locked="0"/>
    </xf>
    <xf numFmtId="0" fontId="8" fillId="0" borderId="13" xfId="1" applyFont="1" applyBorder="1" applyAlignment="1">
      <alignment horizontal="center"/>
    </xf>
    <xf numFmtId="0" fontId="8" fillId="0" borderId="5" xfId="1" applyFont="1" applyBorder="1" applyAlignment="1">
      <alignment horizontal="center"/>
    </xf>
    <xf numFmtId="164" fontId="10" fillId="0" borderId="14" xfId="1" applyNumberFormat="1" applyBorder="1"/>
    <xf numFmtId="0" fontId="8" fillId="0" borderId="2" xfId="1" applyFont="1" applyBorder="1" applyAlignment="1">
      <alignment horizontal="center"/>
    </xf>
    <xf numFmtId="0" fontId="8" fillId="0" borderId="3" xfId="1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" fillId="0" borderId="0" xfId="0" applyFont="1"/>
    <xf numFmtId="0" fontId="0" fillId="0" borderId="0" xfId="0" applyFill="1" applyBorder="1" applyAlignment="1"/>
    <xf numFmtId="0" fontId="0" fillId="0" borderId="1" xfId="0" applyFill="1" applyBorder="1" applyAlignment="1"/>
    <xf numFmtId="0" fontId="13" fillId="0" borderId="17" xfId="0" applyFont="1" applyFill="1" applyBorder="1" applyAlignment="1">
      <alignment horizontal="center"/>
    </xf>
    <xf numFmtId="0" fontId="10" fillId="0" borderId="0" xfId="0" applyFont="1" applyFill="1" applyBorder="1" applyAlignment="1"/>
    <xf numFmtId="0" fontId="0" fillId="2" borderId="0" xfId="0" applyFill="1" applyBorder="1" applyAlignment="1"/>
    <xf numFmtId="0" fontId="0" fillId="2" borderId="1" xfId="0" applyFill="1" applyBorder="1" applyAlignment="1"/>
    <xf numFmtId="0" fontId="14" fillId="0" borderId="0" xfId="2" applyFont="1"/>
    <xf numFmtId="0" fontId="15" fillId="0" borderId="0" xfId="0" applyFont="1"/>
    <xf numFmtId="0" fontId="12" fillId="0" borderId="13" xfId="1" applyFont="1" applyBorder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layout>
        <c:manualLayout>
          <c:xMode val="edge"/>
          <c:yMode val="edge"/>
          <c:x val="0.43157917760279962"/>
          <c:y val="3.74064837905236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31578947368421"/>
          <c:y val="0.1205155576514059"/>
          <c:w val="0.82807053011518739"/>
          <c:h val="0.6958335823052810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'SCREE PLOT RAW'!$A$2:$A$7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'SCREE PLOT RAW'!$B$2:$B$7</c:f>
              <c:numCache>
                <c:formatCode>General</c:formatCode>
                <c:ptCount val="6"/>
                <c:pt idx="0">
                  <c:v>4.3425536046359614</c:v>
                </c:pt>
                <c:pt idx="1">
                  <c:v>1.0767268566749457</c:v>
                </c:pt>
                <c:pt idx="2">
                  <c:v>0.36065702649638703</c:v>
                </c:pt>
                <c:pt idx="3">
                  <c:v>0.14560967479196235</c:v>
                </c:pt>
                <c:pt idx="4">
                  <c:v>6.2888334080926242E-2</c:v>
                </c:pt>
                <c:pt idx="5">
                  <c:v>1.156450331981318E-2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F-4EAD-B01F-2CE50ABE6F9B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Ref>
              <c:f>'SCREE PLOT RAW'!$D$17:$D$18</c:f>
              <c:numCache>
                <c:formatCode>General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xVal>
          <c:yVal>
            <c:numRef>
              <c:f>'SCREE PLOT RAW'!$E$17:$E$18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BF-4EAD-B01F-2CE50ABE6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61600"/>
        <c:axId val="77163520"/>
      </c:scatterChart>
      <c:valAx>
        <c:axId val="77161600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Component Number</a:t>
                </a:r>
              </a:p>
            </c:rich>
          </c:tx>
          <c:layout>
            <c:manualLayout>
              <c:xMode val="edge"/>
              <c:yMode val="edge"/>
              <c:x val="0.42631601970806282"/>
              <c:y val="0.897758229099168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163520"/>
        <c:crosses val="autoZero"/>
        <c:crossBetween val="midCat"/>
      </c:valAx>
      <c:valAx>
        <c:axId val="7716352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layout>
            <c:manualLayout>
              <c:xMode val="edge"/>
              <c:yMode val="edge"/>
              <c:x val="3.3333333333333333E-2"/>
              <c:y val="0.408978537907200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161600"/>
        <c:crosses val="autoZero"/>
        <c:crossBetween val="midCat"/>
        <c:majorUnit val="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LOADING PLOT (i.e. PLOT OF CORRELATIONS)</a:t>
            </a:r>
          </a:p>
        </c:rich>
      </c:tx>
      <c:layout>
        <c:manualLayout>
          <c:xMode val="edge"/>
          <c:yMode val="edge"/>
          <c:x val="0.26279369719805823"/>
          <c:y val="2.4541184745707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85747741661384"/>
          <c:y val="0.10912379964896995"/>
          <c:w val="0.72525600018108505"/>
          <c:h val="0.7203417435890641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chemeClr val="tx1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Luxurious</a:t>
                    </a:r>
                    <a:endParaRPr lang="en-US"/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058-4424-BEDC-24AC758BA3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Safe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058-4424-BEDC-24AC758BA3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Sporty</a:t>
                    </a:r>
                    <a:endParaRPr lang="en-US"/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058-4424-BEDC-24AC758BA3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For Family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058-4424-BEDC-24AC758BA3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Practical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058-4424-BEDC-24AC758BA3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Exciting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058-4424-BEDC-24AC758BA3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Communic.</a:t>
                    </a:r>
                    <a:endParaRPr lang="en-US"/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058-4424-BEDC-24AC758BA3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Utilities</a:t>
                    </a:r>
                    <a:endParaRPr lang="en-US"/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058-4424-BEDC-24AC758BA3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Whole-Sale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058-4424-BEDC-24AC758BA3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Retail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058-4424-BEDC-24AC758BA3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Fiduciary</a:t>
                    </a:r>
                    <a:endParaRPr lang="en-US"/>
                  </a:p>
                </c:rich>
              </c:tx>
              <c:spPr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058-4424-BEDC-24AC758BA3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 b="1">
                        <a:solidFill>
                          <a:srgbClr val="0070C0"/>
                        </a:solidFill>
                      </a:rPr>
                      <a:t>Service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058-4424-BEDC-24AC758BA3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pPr>
                      <a:defRPr b="1">
                        <a:solidFill>
                          <a:srgbClr val="0070C0"/>
                        </a:solidFill>
                      </a:defRPr>
                    </a:pPr>
                    <a:r>
                      <a:rPr lang="en-US"/>
                      <a:t>Govt</a:t>
                    </a:r>
                  </a:p>
                </c:rich>
              </c:tx>
              <c:spPr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C058-4424-BEDC-24AC758BA35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'LOADING PLOT'!$E$17:$E$22</c:f>
              <c:numCache>
                <c:formatCode>0.000</c:formatCode>
                <c:ptCount val="6"/>
                <c:pt idx="0">
                  <c:v>-0.754</c:v>
                </c:pt>
                <c:pt idx="1">
                  <c:v>0.46200000000000002</c:v>
                </c:pt>
                <c:pt idx="2">
                  <c:v>-0.96699999999999997</c:v>
                </c:pt>
                <c:pt idx="3">
                  <c:v>0.99199999999999999</c:v>
                </c:pt>
                <c:pt idx="4">
                  <c:v>0.91900000000000004</c:v>
                </c:pt>
                <c:pt idx="5">
                  <c:v>-0.89200000000000002</c:v>
                </c:pt>
              </c:numCache>
            </c:numRef>
          </c:xVal>
          <c:yVal>
            <c:numRef>
              <c:f>'LOADING PLOT'!$F$17:$F$22</c:f>
              <c:numCache>
                <c:formatCode>0.000</c:formatCode>
                <c:ptCount val="6"/>
                <c:pt idx="0">
                  <c:v>-0.52600000000000002</c:v>
                </c:pt>
                <c:pt idx="1">
                  <c:v>-0.82899999999999996</c:v>
                </c:pt>
                <c:pt idx="2">
                  <c:v>3.4000000000000002E-2</c:v>
                </c:pt>
                <c:pt idx="3">
                  <c:v>-4.8000000000000001E-2</c:v>
                </c:pt>
                <c:pt idx="4">
                  <c:v>0.26500000000000001</c:v>
                </c:pt>
                <c:pt idx="5">
                  <c:v>0.19900000000000001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058-4424-BEDC-24AC758BA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48928"/>
        <c:axId val="79163392"/>
      </c:scatterChart>
      <c:valAx>
        <c:axId val="79148928"/>
        <c:scaling>
          <c:orientation val="minMax"/>
          <c:max val="1.1000000000000001"/>
          <c:min val="-1"/>
        </c:scaling>
        <c:delete val="0"/>
        <c:axPos val="b"/>
        <c:title>
          <c:tx>
            <c:strRef>
              <c:f>'LOADING PLOT'!$S$17</c:f>
              <c:strCache>
                <c:ptCount val="1"/>
                <c:pt idx="0">
                  <c:v>First Principle Component</c:v>
                </c:pt>
              </c:strCache>
            </c:strRef>
          </c:tx>
          <c:layout>
            <c:manualLayout>
              <c:xMode val="edge"/>
              <c:yMode val="edge"/>
              <c:x val="0.4311780990062809"/>
              <c:y val="0.9151157735717817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1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0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9163392"/>
        <c:crosses val="autoZero"/>
        <c:crossBetween val="midCat"/>
        <c:majorUnit val="0.25"/>
      </c:valAx>
      <c:valAx>
        <c:axId val="79163392"/>
        <c:scaling>
          <c:orientation val="minMax"/>
          <c:max val="1"/>
          <c:min val="-1"/>
        </c:scaling>
        <c:delete val="0"/>
        <c:axPos val="l"/>
        <c:title>
          <c:tx>
            <c:strRef>
              <c:f>'LOADING PLOT'!$S$18</c:f>
              <c:strCache>
                <c:ptCount val="1"/>
                <c:pt idx="0">
                  <c:v>Second Principle Component</c:v>
                </c:pt>
              </c:strCache>
            </c:strRef>
          </c:tx>
          <c:layout>
            <c:manualLayout>
              <c:xMode val="edge"/>
              <c:yMode val="edge"/>
              <c:x val="5.0858350417640578E-2"/>
              <c:y val="0.1725238149579128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1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0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9148928"/>
        <c:crosses val="autoZero"/>
        <c:crossBetween val="midCat"/>
        <c:majorUnit val="0.2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SCORE PLOT (i.e.</a:t>
            </a:r>
            <a:r>
              <a:rPr lang="en-US" baseline="0"/>
              <a:t> Plot of linear combinations of original data)</a:t>
            </a:r>
            <a:endParaRPr lang="en-US"/>
          </a:p>
        </c:rich>
      </c:tx>
      <c:layout>
        <c:manualLayout>
          <c:xMode val="edge"/>
          <c:yMode val="edge"/>
          <c:x val="0.17679378599934534"/>
          <c:y val="1.759378526549576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0785747741661384"/>
          <c:y val="9.8747932384469814E-2"/>
          <c:w val="0.7224918424699992"/>
          <c:h val="0.7307176322927605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chemeClr val="tx1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70C0"/>
                        </a:solidFill>
                      </a:rPr>
                      <a:t>BMW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8FD-4ADA-887A-A6EE7C6FE4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70C0"/>
                        </a:solidFill>
                      </a:rPr>
                      <a:t>Ford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8FD-4ADA-887A-A6EE7C6FE4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70C0"/>
                        </a:solidFill>
                      </a:rPr>
                      <a:t>Infinity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8FD-4ADA-887A-A6EE7C6FE4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70C0"/>
                        </a:solidFill>
                      </a:rPr>
                      <a:t>Jeep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8FD-4ADA-887A-A6EE7C6FE4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70C0"/>
                        </a:solidFill>
                      </a:rPr>
                      <a:t>Lexus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8FD-4ADA-887A-A6EE7C6FE4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70C0"/>
                        </a:solidFill>
                      </a:rPr>
                      <a:t>Chrysler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8FD-4ADA-887A-A6EE7C6FE4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70C0"/>
                        </a:solidFill>
                      </a:rPr>
                      <a:t>Mercedes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8FD-4ADA-887A-A6EE7C6FE4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70C0"/>
                        </a:solidFill>
                      </a:rPr>
                      <a:t>Saab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8FD-4ADA-887A-A6EE7C6FE4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70C0"/>
                        </a:solidFill>
                      </a:rPr>
                      <a:t>Porsche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8FD-4ADA-887A-A6EE7C6FE4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70C0"/>
                        </a:solidFill>
                      </a:rPr>
                      <a:t>Volvo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8FD-4ADA-887A-A6EE7C6FE49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FD-4ADA-887A-A6EE7C6FE4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70C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'SCORE PLOT'!$D$18:$D$27</c:f>
              <c:numCache>
                <c:formatCode>0.000</c:formatCode>
                <c:ptCount val="10"/>
                <c:pt idx="0">
                  <c:v>-2.2796090313892452</c:v>
                </c:pt>
                <c:pt idx="1">
                  <c:v>1.6282523380311309</c:v>
                </c:pt>
                <c:pt idx="2">
                  <c:v>-0.28368492965165415</c:v>
                </c:pt>
                <c:pt idx="3">
                  <c:v>0.70235149221225057</c:v>
                </c:pt>
                <c:pt idx="4">
                  <c:v>-0.61151145700081511</c:v>
                </c:pt>
                <c:pt idx="5">
                  <c:v>2.9194901923161316</c:v>
                </c:pt>
                <c:pt idx="6">
                  <c:v>-0.62645242470772666</c:v>
                </c:pt>
                <c:pt idx="7">
                  <c:v>-0.71043925876253278</c:v>
                </c:pt>
                <c:pt idx="8">
                  <c:v>-3.5781105689423987</c:v>
                </c:pt>
                <c:pt idx="9">
                  <c:v>2.8397136478948592</c:v>
                </c:pt>
              </c:numCache>
            </c:numRef>
          </c:xVal>
          <c:yVal>
            <c:numRef>
              <c:f>'SCORE PLOT'!$E$18:$E$27</c:f>
              <c:numCache>
                <c:formatCode>0.000</c:formatCode>
                <c:ptCount val="10"/>
                <c:pt idx="0">
                  <c:v>0.1618788683752477</c:v>
                </c:pt>
                <c:pt idx="1">
                  <c:v>1.0745867045432598</c:v>
                </c:pt>
                <c:pt idx="2">
                  <c:v>-1.2052954939918217E-2</c:v>
                </c:pt>
                <c:pt idx="3">
                  <c:v>0.64466751723321147</c:v>
                </c:pt>
                <c:pt idx="4">
                  <c:v>-1.1950786779461293</c:v>
                </c:pt>
                <c:pt idx="5">
                  <c:v>1.251018814150648</c:v>
                </c:pt>
                <c:pt idx="6">
                  <c:v>-1.5322477656527322</c:v>
                </c:pt>
                <c:pt idx="7">
                  <c:v>-0.27167628285438783</c:v>
                </c:pt>
                <c:pt idx="8">
                  <c:v>1.0952361221965905</c:v>
                </c:pt>
                <c:pt idx="9">
                  <c:v>-1.2163323451057924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8FD-4ADA-887A-A6EE7C6FE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24672"/>
        <c:axId val="94126848"/>
      </c:scatterChart>
      <c:valAx>
        <c:axId val="94124672"/>
        <c:scaling>
          <c:orientation val="minMax"/>
        </c:scaling>
        <c:delete val="0"/>
        <c:axPos val="b"/>
        <c:title>
          <c:tx>
            <c:strRef>
              <c:f>'SCORE PLOT'!$S$17</c:f>
              <c:strCache>
                <c:ptCount val="1"/>
                <c:pt idx="0">
                  <c:v>First Principle Component</c:v>
                </c:pt>
              </c:strCache>
            </c:strRef>
          </c:tx>
          <c:layout>
            <c:manualLayout>
              <c:xMode val="edge"/>
              <c:yMode val="edge"/>
              <c:x val="0.4311780990062809"/>
              <c:y val="0.9151157735717817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1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0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126848"/>
        <c:crosses val="autoZero"/>
        <c:crossBetween val="midCat"/>
      </c:valAx>
      <c:valAx>
        <c:axId val="94126848"/>
        <c:scaling>
          <c:orientation val="minMax"/>
        </c:scaling>
        <c:delete val="0"/>
        <c:axPos val="l"/>
        <c:title>
          <c:tx>
            <c:strRef>
              <c:f>'SCORE PLOT'!$S$18</c:f>
              <c:strCache>
                <c:ptCount val="1"/>
                <c:pt idx="0">
                  <c:v>Second Principle Component</c:v>
                </c:pt>
              </c:strCache>
            </c:strRef>
          </c:tx>
          <c:layout>
            <c:manualLayout>
              <c:xMode val="edge"/>
              <c:yMode val="edge"/>
              <c:x val="5.0858350417640578E-2"/>
              <c:y val="0.1725238149579128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1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0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1246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</xdr:colOff>
      <xdr:row>0</xdr:row>
      <xdr:rowOff>175260</xdr:rowOff>
    </xdr:from>
    <xdr:to>
      <xdr:col>10</xdr:col>
      <xdr:colOff>86360</xdr:colOff>
      <xdr:row>19</xdr:row>
      <xdr:rowOff>27940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2983</xdr:colOff>
      <xdr:row>3</xdr:row>
      <xdr:rowOff>159027</xdr:rowOff>
    </xdr:from>
    <xdr:to>
      <xdr:col>17</xdr:col>
      <xdr:colOff>330311</xdr:colOff>
      <xdr:row>25</xdr:row>
      <xdr:rowOff>97402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6626</xdr:colOff>
      <xdr:row>1</xdr:row>
      <xdr:rowOff>0</xdr:rowOff>
    </xdr:from>
    <xdr:to>
      <xdr:col>8</xdr:col>
      <xdr:colOff>6626</xdr:colOff>
      <xdr:row>1</xdr:row>
      <xdr:rowOff>6626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77A44E8-9C41-4B81-9993-03924DF75EEA}"/>
            </a:ext>
          </a:extLst>
        </xdr:cNvPr>
        <xdr:cNvCxnSpPr/>
      </xdr:nvCxnSpPr>
      <xdr:spPr>
        <a:xfrm>
          <a:off x="1378226" y="165652"/>
          <a:ext cx="3657600" cy="66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6626</xdr:colOff>
      <xdr:row>2</xdr:row>
      <xdr:rowOff>0</xdr:rowOff>
    </xdr:from>
    <xdr:to>
      <xdr:col>8</xdr:col>
      <xdr:colOff>0</xdr:colOff>
      <xdr:row>2</xdr:row>
      <xdr:rowOff>6626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23A62F1-C2FB-486E-97D5-973A558344E9}"/>
            </a:ext>
          </a:extLst>
        </xdr:cNvPr>
        <xdr:cNvCxnSpPr/>
      </xdr:nvCxnSpPr>
      <xdr:spPr>
        <a:xfrm flipV="1">
          <a:off x="6626" y="331304"/>
          <a:ext cx="5022574" cy="66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159026</xdr:rowOff>
    </xdr:from>
    <xdr:to>
      <xdr:col>7</xdr:col>
      <xdr:colOff>602974</xdr:colOff>
      <xdr:row>8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D8F881D-3F1B-4F0E-BD9F-91F9241D8264}"/>
            </a:ext>
          </a:extLst>
        </xdr:cNvPr>
        <xdr:cNvCxnSpPr/>
      </xdr:nvCxnSpPr>
      <xdr:spPr>
        <a:xfrm flipV="1">
          <a:off x="0" y="1318591"/>
          <a:ext cx="5022574" cy="66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159026</xdr:rowOff>
    </xdr:from>
    <xdr:to>
      <xdr:col>1</xdr:col>
      <xdr:colOff>6626</xdr:colOff>
      <xdr:row>8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FF4ED34-1D6D-4025-90BE-812E743689E7}"/>
            </a:ext>
          </a:extLst>
        </xdr:cNvPr>
        <xdr:cNvCxnSpPr/>
      </xdr:nvCxnSpPr>
      <xdr:spPr>
        <a:xfrm>
          <a:off x="609600" y="324678"/>
          <a:ext cx="6626" cy="10005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6626</xdr:colOff>
      <xdr:row>0</xdr:row>
      <xdr:rowOff>159026</xdr:rowOff>
    </xdr:from>
    <xdr:to>
      <xdr:col>2</xdr:col>
      <xdr:colOff>6626</xdr:colOff>
      <xdr:row>8</xdr:row>
      <xdr:rowOff>13252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A67E5CF7-105E-4CD6-B505-009CBBE42169}"/>
            </a:ext>
          </a:extLst>
        </xdr:cNvPr>
        <xdr:cNvCxnSpPr/>
      </xdr:nvCxnSpPr>
      <xdr:spPr>
        <a:xfrm>
          <a:off x="1378226" y="159026"/>
          <a:ext cx="0" cy="117944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374044</xdr:colOff>
      <xdr:row>4</xdr:row>
      <xdr:rowOff>132522</xdr:rowOff>
    </xdr:from>
    <xdr:to>
      <xdr:col>17</xdr:col>
      <xdr:colOff>91772</xdr:colOff>
      <xdr:row>26</xdr:row>
      <xdr:rowOff>90777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tabSelected="1" zoomScale="95" zoomScaleNormal="95" workbookViewId="0">
      <selection activeCell="E23" sqref="E23"/>
    </sheetView>
  </sheetViews>
  <sheetFormatPr defaultRowHeight="14.4" x14ac:dyDescent="0.3"/>
  <cols>
    <col min="1" max="7" width="10.44140625" style="63" customWidth="1"/>
    <col min="8" max="16384" width="8.88671875" style="63"/>
  </cols>
  <sheetData>
    <row r="1" spans="1:12" x14ac:dyDescent="0.3">
      <c r="A1" s="62"/>
      <c r="B1" s="62"/>
      <c r="C1" s="62"/>
      <c r="D1" s="62"/>
      <c r="E1" s="62"/>
      <c r="F1" s="62"/>
      <c r="G1" s="62"/>
    </row>
    <row r="2" spans="1:12" x14ac:dyDescent="0.3">
      <c r="A2" s="64"/>
      <c r="B2" s="64" t="s">
        <v>40</v>
      </c>
      <c r="C2" s="64" t="s">
        <v>41</v>
      </c>
      <c r="D2" s="64" t="s">
        <v>42</v>
      </c>
      <c r="E2" s="64" t="s">
        <v>43</v>
      </c>
      <c r="F2" s="64" t="s">
        <v>44</v>
      </c>
      <c r="G2" s="64" t="s">
        <v>45</v>
      </c>
    </row>
    <row r="3" spans="1:12" x14ac:dyDescent="0.3">
      <c r="A3" s="65" t="s">
        <v>46</v>
      </c>
      <c r="B3" s="66">
        <v>4</v>
      </c>
      <c r="C3" s="66">
        <v>3</v>
      </c>
      <c r="D3" s="66">
        <v>5</v>
      </c>
      <c r="E3" s="66">
        <v>2</v>
      </c>
      <c r="F3" s="66">
        <v>2</v>
      </c>
      <c r="G3" s="66">
        <v>4</v>
      </c>
    </row>
    <row r="4" spans="1:12" x14ac:dyDescent="0.3">
      <c r="A4" s="65" t="s">
        <v>47</v>
      </c>
      <c r="B4" s="66">
        <v>2</v>
      </c>
      <c r="C4" s="66">
        <v>3</v>
      </c>
      <c r="D4" s="66">
        <v>2</v>
      </c>
      <c r="E4" s="66">
        <v>4</v>
      </c>
      <c r="F4" s="66">
        <v>5</v>
      </c>
      <c r="G4" s="66">
        <v>2</v>
      </c>
    </row>
    <row r="5" spans="1:12" x14ac:dyDescent="0.3">
      <c r="A5" s="65" t="s">
        <v>48</v>
      </c>
      <c r="B5" s="66">
        <v>4</v>
      </c>
      <c r="C5" s="66">
        <v>3</v>
      </c>
      <c r="D5" s="66">
        <v>3</v>
      </c>
      <c r="E5" s="66">
        <v>3</v>
      </c>
      <c r="F5" s="66">
        <v>3</v>
      </c>
      <c r="G5" s="66">
        <v>2</v>
      </c>
    </row>
    <row r="6" spans="1:12" x14ac:dyDescent="0.3">
      <c r="A6" s="65" t="s">
        <v>49</v>
      </c>
      <c r="B6" s="66">
        <v>3</v>
      </c>
      <c r="C6" s="66">
        <v>3</v>
      </c>
      <c r="D6" s="66">
        <v>2</v>
      </c>
      <c r="E6" s="66">
        <v>4</v>
      </c>
      <c r="F6" s="66">
        <v>4</v>
      </c>
      <c r="G6" s="66">
        <v>3</v>
      </c>
    </row>
    <row r="7" spans="1:12" x14ac:dyDescent="0.3">
      <c r="A7" s="65" t="s">
        <v>50</v>
      </c>
      <c r="B7" s="66">
        <v>5</v>
      </c>
      <c r="C7" s="66">
        <v>4</v>
      </c>
      <c r="D7" s="66">
        <v>3</v>
      </c>
      <c r="E7" s="66">
        <v>3</v>
      </c>
      <c r="F7" s="66">
        <v>3</v>
      </c>
      <c r="G7" s="66">
        <v>3</v>
      </c>
    </row>
    <row r="8" spans="1:12" x14ac:dyDescent="0.3">
      <c r="A8" s="65" t="s">
        <v>51</v>
      </c>
      <c r="B8" s="66">
        <v>1</v>
      </c>
      <c r="C8" s="66">
        <v>3</v>
      </c>
      <c r="D8" s="66">
        <v>1</v>
      </c>
      <c r="E8" s="66">
        <v>5</v>
      </c>
      <c r="F8" s="66">
        <v>5</v>
      </c>
      <c r="G8" s="66">
        <v>1</v>
      </c>
    </row>
    <row r="9" spans="1:12" x14ac:dyDescent="0.3">
      <c r="A9" s="65" t="s">
        <v>52</v>
      </c>
      <c r="B9" s="66">
        <v>5</v>
      </c>
      <c r="C9" s="66">
        <v>4</v>
      </c>
      <c r="D9" s="66">
        <v>3</v>
      </c>
      <c r="E9" s="66">
        <v>3</v>
      </c>
      <c r="F9" s="66">
        <v>2</v>
      </c>
      <c r="G9" s="66">
        <v>2</v>
      </c>
    </row>
    <row r="10" spans="1:12" x14ac:dyDescent="0.3">
      <c r="A10" s="65" t="s">
        <v>53</v>
      </c>
      <c r="B10" s="66">
        <v>3</v>
      </c>
      <c r="C10" s="66">
        <v>4</v>
      </c>
      <c r="D10" s="66">
        <v>4</v>
      </c>
      <c r="E10" s="66">
        <v>3</v>
      </c>
      <c r="F10" s="66">
        <v>3</v>
      </c>
      <c r="G10" s="66">
        <v>4</v>
      </c>
    </row>
    <row r="11" spans="1:12" x14ac:dyDescent="0.3">
      <c r="A11" s="65" t="s">
        <v>54</v>
      </c>
      <c r="B11" s="66">
        <v>4</v>
      </c>
      <c r="C11" s="66">
        <v>2</v>
      </c>
      <c r="D11" s="66">
        <v>5</v>
      </c>
      <c r="E11" s="66">
        <v>1</v>
      </c>
      <c r="F11" s="66">
        <v>1</v>
      </c>
      <c r="G11" s="66">
        <v>5</v>
      </c>
    </row>
    <row r="12" spans="1:12" x14ac:dyDescent="0.3">
      <c r="A12" s="64" t="s">
        <v>55</v>
      </c>
      <c r="B12" s="67">
        <v>2</v>
      </c>
      <c r="C12" s="67">
        <v>5</v>
      </c>
      <c r="D12" s="67">
        <v>1</v>
      </c>
      <c r="E12" s="67">
        <v>5</v>
      </c>
      <c r="F12" s="67">
        <v>4</v>
      </c>
      <c r="G12" s="67">
        <v>1</v>
      </c>
    </row>
    <row r="15" spans="1:12" ht="15" thickBot="1" x14ac:dyDescent="0.35"/>
    <row r="16" spans="1:12" x14ac:dyDescent="0.3">
      <c r="F16" s="78"/>
      <c r="G16" s="78" t="str">
        <f>B2</f>
        <v>Luxurious</v>
      </c>
      <c r="H16" s="78" t="str">
        <f>C2</f>
        <v>Safe</v>
      </c>
      <c r="I16" s="78" t="str">
        <f>D2</f>
        <v>Sporty</v>
      </c>
      <c r="J16" s="78" t="str">
        <f>E2</f>
        <v>For Family</v>
      </c>
      <c r="K16" s="78" t="str">
        <f>F2</f>
        <v>Practical</v>
      </c>
      <c r="L16" s="78" t="str">
        <f>G2</f>
        <v>Exciting</v>
      </c>
    </row>
    <row r="17" spans="6:12" x14ac:dyDescent="0.3">
      <c r="F17" s="79" t="str">
        <f>B2</f>
        <v>Luxurious</v>
      </c>
      <c r="G17" s="80">
        <v>1</v>
      </c>
      <c r="H17" s="76"/>
      <c r="I17" s="76"/>
      <c r="J17" s="76"/>
      <c r="K17" s="76"/>
      <c r="L17" s="76"/>
    </row>
    <row r="18" spans="6:12" x14ac:dyDescent="0.3">
      <c r="F18" s="76" t="str">
        <f>C2</f>
        <v>Safe</v>
      </c>
      <c r="G18" s="76">
        <v>-1.9702760155977467E-2</v>
      </c>
      <c r="H18" s="80">
        <v>1</v>
      </c>
      <c r="I18" s="76"/>
      <c r="J18" s="76"/>
      <c r="K18" s="76"/>
      <c r="L18" s="76"/>
    </row>
    <row r="19" spans="6:12" x14ac:dyDescent="0.3">
      <c r="F19" s="76" t="str">
        <f>D2</f>
        <v>Sporty</v>
      </c>
      <c r="G19" s="80">
        <v>0.64779054279485337</v>
      </c>
      <c r="H19" s="76">
        <v>-0.41825095628565206</v>
      </c>
      <c r="I19" s="80">
        <v>1</v>
      </c>
      <c r="J19" s="76"/>
      <c r="K19" s="76"/>
      <c r="L19" s="76"/>
    </row>
    <row r="20" spans="6:12" x14ac:dyDescent="0.3">
      <c r="F20" s="76" t="str">
        <f>E2</f>
        <v>For Family</v>
      </c>
      <c r="G20" s="80">
        <v>-0.72344247496318304</v>
      </c>
      <c r="H20" s="76">
        <v>0.50529115263991142</v>
      </c>
      <c r="I20" s="80">
        <v>-0.96174335431039415</v>
      </c>
      <c r="J20" s="80">
        <v>1</v>
      </c>
      <c r="K20" s="76"/>
      <c r="L20" s="76"/>
    </row>
    <row r="21" spans="6:12" x14ac:dyDescent="0.3">
      <c r="F21" s="76" t="str">
        <f>F2</f>
        <v>Practical</v>
      </c>
      <c r="G21" s="80">
        <v>-0.79505158537755971</v>
      </c>
      <c r="H21" s="76">
        <v>0.22017621148199482</v>
      </c>
      <c r="I21" s="80">
        <v>-0.8619230879713552</v>
      </c>
      <c r="J21" s="80">
        <v>0.90350995670338718</v>
      </c>
      <c r="K21" s="80">
        <v>1</v>
      </c>
      <c r="L21" s="76"/>
    </row>
    <row r="22" spans="6:12" ht="15" thickBot="1" x14ac:dyDescent="0.35">
      <c r="F22" s="77" t="str">
        <f>G2</f>
        <v>Exciting</v>
      </c>
      <c r="G22" s="77">
        <v>0.49068322981366452</v>
      </c>
      <c r="H22" s="77">
        <v>-0.47286624374346042</v>
      </c>
      <c r="I22" s="81">
        <v>0.90002756830789343</v>
      </c>
      <c r="J22" s="81">
        <v>-0.86945838734107295</v>
      </c>
      <c r="K22" s="81">
        <v>-0.71933238677017297</v>
      </c>
      <c r="L22" s="81">
        <v>1</v>
      </c>
    </row>
    <row r="24" spans="6:12" x14ac:dyDescent="0.3">
      <c r="G24" s="82" t="s">
        <v>57</v>
      </c>
      <c r="I24" s="63">
        <v>0.6</v>
      </c>
    </row>
  </sheetData>
  <pageMargins left="0.7" right="0.7" top="0.75" bottom="0.75" header="0.3" footer="0.3"/>
  <pageSetup paperSize="15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7"/>
  <sheetViews>
    <sheetView workbookViewId="0">
      <selection activeCell="B7" sqref="B7"/>
    </sheetView>
  </sheetViews>
  <sheetFormatPr defaultRowHeight="13.2" x14ac:dyDescent="0.25"/>
  <cols>
    <col min="1" max="7" width="10.88671875" customWidth="1"/>
  </cols>
  <sheetData>
    <row r="1" spans="1:7" ht="15" thickBot="1" x14ac:dyDescent="0.35">
      <c r="A1" s="74" t="s">
        <v>56</v>
      </c>
      <c r="B1" s="60" t="s">
        <v>24</v>
      </c>
      <c r="C1" s="60" t="s">
        <v>25</v>
      </c>
      <c r="D1" s="60" t="s">
        <v>26</v>
      </c>
      <c r="E1" s="60" t="s">
        <v>27</v>
      </c>
      <c r="F1" s="60" t="s">
        <v>28</v>
      </c>
      <c r="G1" s="61" t="s">
        <v>29</v>
      </c>
    </row>
    <row r="2" spans="1:7" ht="14.4" x14ac:dyDescent="0.3">
      <c r="A2" s="75">
        <v>4.3425536046359614</v>
      </c>
      <c r="B2" s="75">
        <v>-0.36202615991027931</v>
      </c>
      <c r="C2" s="75">
        <v>-0.50689485877434171</v>
      </c>
      <c r="D2" s="75">
        <v>-0.56096092309493195</v>
      </c>
      <c r="E2" s="75">
        <v>-0.52725326563698127</v>
      </c>
      <c r="F2" s="75">
        <v>6.9732381828313669E-3</v>
      </c>
      <c r="G2" s="75">
        <v>0.13882677073829555</v>
      </c>
    </row>
    <row r="3" spans="1:7" ht="14.4" x14ac:dyDescent="0.3">
      <c r="A3" s="75">
        <v>1.0767268566749457</v>
      </c>
      <c r="B3" s="75">
        <v>0.22177344213836583</v>
      </c>
      <c r="C3" s="75">
        <v>-0.79871236311631066</v>
      </c>
      <c r="D3" s="75">
        <v>0.52320581678138067</v>
      </c>
      <c r="E3" s="75">
        <v>1.0405159578267343E-2</v>
      </c>
      <c r="F3" s="75">
        <v>-8.0749261885551454E-2</v>
      </c>
      <c r="G3" s="75">
        <v>-0.1802832882229484</v>
      </c>
    </row>
    <row r="4" spans="1:7" ht="14.4" x14ac:dyDescent="0.3">
      <c r="A4" s="75">
        <v>0.36065702649638703</v>
      </c>
      <c r="B4" s="75">
        <v>-0.46392049713466366</v>
      </c>
      <c r="C4" s="75">
        <v>3.2324206428173734E-2</v>
      </c>
      <c r="D4" s="75">
        <v>0.28341337452531129</v>
      </c>
      <c r="E4" s="75">
        <v>9.0514880573859965E-2</v>
      </c>
      <c r="F4" s="75">
        <v>-0.71255658958650525</v>
      </c>
      <c r="G4" s="75">
        <v>0.43298953819791047</v>
      </c>
    </row>
    <row r="5" spans="1:7" ht="14.4" x14ac:dyDescent="0.3">
      <c r="A5" s="75">
        <v>0.14560967479196235</v>
      </c>
      <c r="B5" s="75">
        <v>0.47598940974963488</v>
      </c>
      <c r="C5" s="75">
        <v>-4.647614861908695E-2</v>
      </c>
      <c r="D5" s="75">
        <v>5.2459772611746863E-2</v>
      </c>
      <c r="E5" s="75">
        <v>-0.11292957285410167</v>
      </c>
      <c r="F5" s="75">
        <v>0.20750822295377322</v>
      </c>
      <c r="G5" s="75">
        <v>0.84422110294330577</v>
      </c>
    </row>
    <row r="6" spans="1:7" ht="14.4" x14ac:dyDescent="0.3">
      <c r="A6" s="75">
        <v>6.2888334080926242E-2</v>
      </c>
      <c r="B6" s="75">
        <v>0.44115775321981981</v>
      </c>
      <c r="C6" s="75">
        <v>0.25547845003959796</v>
      </c>
      <c r="D6" s="75">
        <v>7.019054547044945E-2</v>
      </c>
      <c r="E6" s="75">
        <v>-0.68630147094255711</v>
      </c>
      <c r="F6" s="75">
        <v>-0.46628468396277239</v>
      </c>
      <c r="G6" s="75">
        <v>-0.2162238889433489</v>
      </c>
    </row>
    <row r="7" spans="1:7" ht="14.4" x14ac:dyDescent="0.3">
      <c r="A7" s="75">
        <v>1.156450331981318E-2</v>
      </c>
      <c r="B7" s="75">
        <v>-0.42818838239877521</v>
      </c>
      <c r="C7" s="75">
        <v>0.19142110125843054</v>
      </c>
      <c r="D7" s="75">
        <v>0.56883796881965532</v>
      </c>
      <c r="E7" s="75">
        <v>-0.47952057878787807</v>
      </c>
      <c r="F7" s="75">
        <v>0.47456608412247225</v>
      </c>
      <c r="G7" s="75">
        <v>3.5820144059739226E-2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H25"/>
  <sheetViews>
    <sheetView zoomScale="115" workbookViewId="0">
      <selection activeCell="E18" sqref="E18"/>
    </sheetView>
  </sheetViews>
  <sheetFormatPr defaultRowHeight="13.2" x14ac:dyDescent="0.25"/>
  <cols>
    <col min="1" max="1" width="5.44140625" style="44" customWidth="1"/>
    <col min="2" max="2" width="14.6640625" style="44" customWidth="1"/>
    <col min="3" max="8" width="7.77734375" style="44" customWidth="1"/>
    <col min="9" max="16384" width="8.88671875" style="44"/>
  </cols>
  <sheetData>
    <row r="1" spans="1:8" ht="13.8" thickBot="1" x14ac:dyDescent="0.3">
      <c r="C1" s="49">
        <v>1</v>
      </c>
      <c r="D1" s="49">
        <f>C1+1</f>
        <v>2</v>
      </c>
      <c r="E1" s="49">
        <f t="shared" ref="E1:H1" si="0">D1+1</f>
        <v>3</v>
      </c>
      <c r="F1" s="49">
        <f t="shared" si="0"/>
        <v>4</v>
      </c>
      <c r="G1" s="49">
        <f t="shared" si="0"/>
        <v>5</v>
      </c>
      <c r="H1" s="49">
        <f t="shared" si="0"/>
        <v>6</v>
      </c>
    </row>
    <row r="2" spans="1:8" ht="15" thickBot="1" x14ac:dyDescent="0.35">
      <c r="B2" s="55" t="s">
        <v>1</v>
      </c>
      <c r="C2" s="59" t="s">
        <v>2</v>
      </c>
      <c r="D2" s="60" t="s">
        <v>3</v>
      </c>
      <c r="E2" s="60" t="s">
        <v>4</v>
      </c>
      <c r="F2" s="60" t="s">
        <v>5</v>
      </c>
      <c r="G2" s="60" t="s">
        <v>6</v>
      </c>
      <c r="H2" s="61" t="s">
        <v>7</v>
      </c>
    </row>
    <row r="3" spans="1:8" ht="14.4" x14ac:dyDescent="0.3">
      <c r="A3" s="69">
        <v>1</v>
      </c>
      <c r="B3" s="56" t="s">
        <v>46</v>
      </c>
      <c r="C3" s="75">
        <v>-2.2796090313892452</v>
      </c>
      <c r="D3" s="75">
        <v>0.1618788683752477</v>
      </c>
      <c r="E3" s="75">
        <v>0.30336834221190467</v>
      </c>
      <c r="F3" s="75">
        <v>0.12703814960021265</v>
      </c>
      <c r="G3" s="75">
        <v>-0.31989657827226542</v>
      </c>
      <c r="H3" s="75">
        <v>0.14070965879715447</v>
      </c>
    </row>
    <row r="4" spans="1:8" ht="14.4" x14ac:dyDescent="0.3">
      <c r="A4" s="70">
        <f>A3+1</f>
        <v>2</v>
      </c>
      <c r="B4" s="56" t="s">
        <v>47</v>
      </c>
      <c r="C4" s="75">
        <v>1.6282523380311309</v>
      </c>
      <c r="D4" s="75">
        <v>1.0745867045432598</v>
      </c>
      <c r="E4" s="75">
        <v>-5.1367316689050146E-2</v>
      </c>
      <c r="F4" s="75">
        <v>-0.29917897918693381</v>
      </c>
      <c r="G4" s="75">
        <v>-0.29576115681978782</v>
      </c>
      <c r="H4" s="75">
        <v>-0.16056452343217478</v>
      </c>
    </row>
    <row r="5" spans="1:8" ht="14.4" x14ac:dyDescent="0.3">
      <c r="A5" s="70">
        <f t="shared" ref="A5:A12" si="1">A4+1</f>
        <v>3</v>
      </c>
      <c r="B5" s="56" t="s">
        <v>48</v>
      </c>
      <c r="C5" s="75">
        <v>-0.28368492965165415</v>
      </c>
      <c r="D5" s="75">
        <v>-1.2052954939918217E-2</v>
      </c>
      <c r="E5" s="75">
        <v>-0.84315671569846495</v>
      </c>
      <c r="F5" s="75">
        <v>0.10765251500969208</v>
      </c>
      <c r="G5" s="75">
        <v>-0.23449299011412553</v>
      </c>
      <c r="H5" s="75">
        <v>-1.9142555644778222E-4</v>
      </c>
    </row>
    <row r="6" spans="1:8" ht="14.4" x14ac:dyDescent="0.3">
      <c r="A6" s="70">
        <f t="shared" si="1"/>
        <v>4</v>
      </c>
      <c r="B6" s="56" t="s">
        <v>49</v>
      </c>
      <c r="C6" s="75">
        <v>0.70235149221225057</v>
      </c>
      <c r="D6" s="75">
        <v>0.64466751723321147</v>
      </c>
      <c r="E6" s="75">
        <v>-9.8791454576143273E-2</v>
      </c>
      <c r="F6" s="75">
        <v>-0.53062735177751463</v>
      </c>
      <c r="G6" s="75">
        <v>0.41843863185542768</v>
      </c>
      <c r="H6" s="75">
        <v>0.13424707607671654</v>
      </c>
    </row>
    <row r="7" spans="1:8" ht="14.4" x14ac:dyDescent="0.3">
      <c r="A7" s="70">
        <f t="shared" si="1"/>
        <v>5</v>
      </c>
      <c r="B7" s="56" t="s">
        <v>50</v>
      </c>
      <c r="C7" s="75">
        <v>-0.61151145700081511</v>
      </c>
      <c r="D7" s="75">
        <v>-1.1950786779461293</v>
      </c>
      <c r="E7" s="75">
        <v>-0.2168215323600915</v>
      </c>
      <c r="F7" s="75">
        <v>-0.63274024418228902</v>
      </c>
      <c r="G7" s="75">
        <v>2.9781311672228652E-2</v>
      </c>
      <c r="H7" s="75">
        <v>-8.3403339943621174E-2</v>
      </c>
    </row>
    <row r="8" spans="1:8" ht="14.4" x14ac:dyDescent="0.3">
      <c r="A8" s="70">
        <f t="shared" si="1"/>
        <v>6</v>
      </c>
      <c r="B8" s="56" t="s">
        <v>51</v>
      </c>
      <c r="C8" s="75">
        <v>2.9194901923161316</v>
      </c>
      <c r="D8" s="75">
        <v>1.251018814150648</v>
      </c>
      <c r="E8" s="75">
        <v>-0.2109185614004464</v>
      </c>
      <c r="F8" s="75">
        <v>0.30086813924032063</v>
      </c>
      <c r="G8" s="75">
        <v>1.7041358103285775E-3</v>
      </c>
      <c r="H8" s="75">
        <v>8.4544719377588146E-2</v>
      </c>
    </row>
    <row r="9" spans="1:8" ht="14.4" x14ac:dyDescent="0.3">
      <c r="A9" s="70">
        <f t="shared" si="1"/>
        <v>7</v>
      </c>
      <c r="B9" s="56" t="s">
        <v>52</v>
      </c>
      <c r="C9" s="75">
        <v>-0.62645242470772666</v>
      </c>
      <c r="D9" s="75">
        <v>-1.5322477656527322</v>
      </c>
      <c r="E9" s="75">
        <v>-0.69543655850007557</v>
      </c>
      <c r="F9" s="75">
        <v>0.24706494241654953</v>
      </c>
      <c r="G9" s="75">
        <v>2.9132467896484993E-2</v>
      </c>
      <c r="H9" s="75">
        <v>5.4048947308499226E-2</v>
      </c>
    </row>
    <row r="10" spans="1:8" ht="14.4" x14ac:dyDescent="0.3">
      <c r="A10" s="70">
        <f t="shared" si="1"/>
        <v>8</v>
      </c>
      <c r="B10" s="56" t="s">
        <v>53</v>
      </c>
      <c r="C10" s="75">
        <v>-0.71043925876253278</v>
      </c>
      <c r="D10" s="75">
        <v>-0.27167628285438783</v>
      </c>
      <c r="E10" s="75">
        <v>1.2428778984197089</v>
      </c>
      <c r="F10" s="75">
        <v>-0.14038091718955592</v>
      </c>
      <c r="G10" s="75">
        <v>-0.11753928696731702</v>
      </c>
      <c r="H10" s="75">
        <v>3.4576933786374497E-2</v>
      </c>
    </row>
    <row r="11" spans="1:8" ht="14.4" x14ac:dyDescent="0.3">
      <c r="A11" s="70">
        <f t="shared" si="1"/>
        <v>9</v>
      </c>
      <c r="B11" s="56" t="s">
        <v>54</v>
      </c>
      <c r="C11" s="75">
        <v>-3.5781105689423987</v>
      </c>
      <c r="D11" s="75">
        <v>1.0952361221965905</v>
      </c>
      <c r="E11" s="75">
        <v>1.2998528015498056E-2</v>
      </c>
      <c r="F11" s="75">
        <v>0.36768417804052567</v>
      </c>
      <c r="G11" s="75">
        <v>0.31906071621899779</v>
      </c>
      <c r="H11" s="75">
        <v>-0.12896345808820026</v>
      </c>
    </row>
    <row r="12" spans="1:8" ht="15" thickBot="1" x14ac:dyDescent="0.35">
      <c r="A12" s="70">
        <f t="shared" si="1"/>
        <v>10</v>
      </c>
      <c r="B12" s="57" t="s">
        <v>55</v>
      </c>
      <c r="C12" s="75">
        <v>2.8397136478948592</v>
      </c>
      <c r="D12" s="75">
        <v>-1.2163323451057924</v>
      </c>
      <c r="E12" s="75">
        <v>0.55724737057715923</v>
      </c>
      <c r="F12" s="75">
        <v>0.45261956802899361</v>
      </c>
      <c r="G12" s="75">
        <v>0.16957274872002726</v>
      </c>
      <c r="H12" s="75">
        <v>-7.5004588325887189E-2</v>
      </c>
    </row>
    <row r="13" spans="1:8" ht="14.4" x14ac:dyDescent="0.3">
      <c r="C13" s="58"/>
      <c r="D13" s="58"/>
      <c r="E13" s="58"/>
      <c r="F13" s="58"/>
      <c r="G13" s="58"/>
      <c r="H13" s="58"/>
    </row>
    <row r="14" spans="1:8" ht="14.4" x14ac:dyDescent="0.3">
      <c r="C14" s="58"/>
      <c r="D14" s="58"/>
      <c r="E14" s="58"/>
      <c r="F14" s="58"/>
      <c r="G14" s="58"/>
      <c r="H14" s="58"/>
    </row>
    <row r="15" spans="1:8" ht="14.4" x14ac:dyDescent="0.3">
      <c r="C15" s="58"/>
      <c r="D15" s="58"/>
      <c r="E15" s="58"/>
      <c r="F15" s="58"/>
      <c r="G15" s="58"/>
      <c r="H15" s="58"/>
    </row>
    <row r="16" spans="1:8" ht="14.4" x14ac:dyDescent="0.3">
      <c r="C16" s="58"/>
      <c r="D16" s="58"/>
      <c r="E16" s="58"/>
      <c r="F16" s="58"/>
      <c r="G16" s="58"/>
      <c r="H16" s="58"/>
    </row>
    <row r="17" spans="3:8" ht="14.4" x14ac:dyDescent="0.3">
      <c r="C17" s="58"/>
      <c r="D17" s="58"/>
      <c r="E17" s="58"/>
      <c r="F17" s="58"/>
      <c r="G17" s="58"/>
      <c r="H17" s="58"/>
    </row>
    <row r="18" spans="3:8" ht="14.4" x14ac:dyDescent="0.3">
      <c r="C18" s="58"/>
      <c r="D18" s="58"/>
      <c r="E18" s="58"/>
      <c r="F18" s="58"/>
      <c r="G18" s="58"/>
      <c r="H18" s="58"/>
    </row>
    <row r="19" spans="3:8" ht="14.4" x14ac:dyDescent="0.3">
      <c r="C19" s="58"/>
      <c r="D19" s="58"/>
      <c r="E19" s="58"/>
      <c r="F19" s="58"/>
      <c r="G19" s="58"/>
      <c r="H19" s="58"/>
    </row>
    <row r="20" spans="3:8" ht="14.4" x14ac:dyDescent="0.3">
      <c r="C20" s="58"/>
      <c r="D20" s="58"/>
      <c r="E20" s="58"/>
      <c r="F20" s="58"/>
      <c r="G20" s="58"/>
      <c r="H20" s="58"/>
    </row>
    <row r="21" spans="3:8" ht="14.4" x14ac:dyDescent="0.3">
      <c r="C21" s="58"/>
      <c r="D21" s="58"/>
      <c r="E21" s="58"/>
      <c r="F21" s="58"/>
      <c r="G21" s="58"/>
      <c r="H21" s="58"/>
    </row>
    <row r="22" spans="3:8" ht="14.4" x14ac:dyDescent="0.3">
      <c r="C22" s="58"/>
      <c r="D22" s="58"/>
      <c r="E22" s="58"/>
      <c r="F22" s="58"/>
      <c r="G22" s="58"/>
      <c r="H22" s="58"/>
    </row>
    <row r="23" spans="3:8" ht="14.4" x14ac:dyDescent="0.3">
      <c r="C23" s="58"/>
      <c r="D23" s="58"/>
      <c r="E23" s="58"/>
      <c r="F23" s="58"/>
      <c r="G23" s="58"/>
      <c r="H23" s="58"/>
    </row>
    <row r="24" spans="3:8" ht="14.4" x14ac:dyDescent="0.3">
      <c r="C24" s="58"/>
      <c r="D24" s="58"/>
      <c r="E24" s="58"/>
      <c r="F24" s="58"/>
      <c r="G24" s="58"/>
      <c r="H24" s="58"/>
    </row>
    <row r="25" spans="3:8" ht="14.4" x14ac:dyDescent="0.3">
      <c r="C25" s="58"/>
      <c r="D25" s="58"/>
      <c r="E25" s="58"/>
      <c r="F25" s="58"/>
      <c r="G25" s="58"/>
      <c r="H25" s="58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41"/>
  <sheetViews>
    <sheetView topLeftCell="A10" zoomScale="85" workbookViewId="0">
      <selection activeCell="I12" sqref="I12"/>
    </sheetView>
  </sheetViews>
  <sheetFormatPr defaultRowHeight="13.2" x14ac:dyDescent="0.25"/>
  <cols>
    <col min="1" max="1" width="5.6640625" customWidth="1"/>
    <col min="2" max="2" width="13.5546875" customWidth="1"/>
    <col min="3" max="8" width="7.33203125" customWidth="1"/>
  </cols>
  <sheetData>
    <row r="1" spans="1:9" ht="13.8" thickBot="1" x14ac:dyDescent="0.3">
      <c r="B1" s="39" t="s">
        <v>13</v>
      </c>
      <c r="C1" s="3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1" t="s">
        <v>0</v>
      </c>
    </row>
    <row r="2" spans="1:9" ht="13.8" thickBot="1" x14ac:dyDescent="0.3">
      <c r="B2" s="2" t="s">
        <v>8</v>
      </c>
      <c r="C2" s="9" cm="1">
        <f t="array" ref="C2:H2">TRANSPOSE('MINITAB EIGEN OUTPUT'!A2:A7)</f>
        <v>4.3425536046359614</v>
      </c>
      <c r="D2" s="10">
        <v>1.0767268566749457</v>
      </c>
      <c r="E2" s="10">
        <v>0.36065702649638703</v>
      </c>
      <c r="F2" s="10">
        <v>0.14560967479196235</v>
      </c>
      <c r="G2" s="10">
        <v>6.2888334080926242E-2</v>
      </c>
      <c r="H2" s="11">
        <v>1.156450331981318E-2</v>
      </c>
      <c r="I2" s="38">
        <f>SUM(C2:H2)</f>
        <v>5.9999999999999964</v>
      </c>
    </row>
    <row r="3" spans="1:9" x14ac:dyDescent="0.25">
      <c r="B3" s="2" t="s">
        <v>12</v>
      </c>
      <c r="C3" s="28">
        <f>C2/$I$2</f>
        <v>0.72375893410599401</v>
      </c>
      <c r="D3" s="28">
        <f>D2/$I$2</f>
        <v>0.17945447611249105</v>
      </c>
      <c r="E3" s="28">
        <f t="shared" ref="D3:H3" si="0">E2/$I$2</f>
        <v>6.0109504416064538E-2</v>
      </c>
      <c r="F3" s="28">
        <f t="shared" si="0"/>
        <v>2.4268279131993739E-2</v>
      </c>
      <c r="G3" s="28">
        <f t="shared" si="0"/>
        <v>1.0481389013487713E-2</v>
      </c>
      <c r="H3" s="28">
        <f t="shared" si="0"/>
        <v>1.9274172199688644E-3</v>
      </c>
    </row>
    <row r="4" spans="1:9" ht="13.8" thickBot="1" x14ac:dyDescent="0.3">
      <c r="B4" s="37" t="s">
        <v>9</v>
      </c>
      <c r="C4" s="34">
        <f>C3</f>
        <v>0.72375893410599401</v>
      </c>
      <c r="D4" s="35">
        <f>C4+D3</f>
        <v>0.903213410218485</v>
      </c>
      <c r="E4" s="35">
        <f>D4+E3</f>
        <v>0.96332291463454955</v>
      </c>
      <c r="F4" s="35">
        <f>E4+F3</f>
        <v>0.98759119376654325</v>
      </c>
      <c r="G4" s="35">
        <f>F4+G3</f>
        <v>0.99807258278003097</v>
      </c>
      <c r="H4" s="36">
        <f>G4+H3</f>
        <v>0.99999999999999989</v>
      </c>
    </row>
    <row r="6" spans="1:9" ht="13.8" thickBot="1" x14ac:dyDescent="0.3">
      <c r="B6" s="40"/>
      <c r="C6" s="1"/>
      <c r="D6" s="1"/>
      <c r="E6" s="1"/>
      <c r="F6" s="1"/>
      <c r="G6" s="1"/>
      <c r="H6" s="1"/>
    </row>
    <row r="7" spans="1:9" ht="13.8" thickBot="1" x14ac:dyDescent="0.3">
      <c r="B7" s="18" t="s">
        <v>23</v>
      </c>
      <c r="C7" s="3" t="s">
        <v>24</v>
      </c>
      <c r="D7" s="4" t="s">
        <v>25</v>
      </c>
      <c r="E7" s="4" t="s">
        <v>26</v>
      </c>
      <c r="F7" s="4" t="s">
        <v>27</v>
      </c>
      <c r="G7" s="4" t="s">
        <v>28</v>
      </c>
      <c r="H7" s="5" t="s">
        <v>29</v>
      </c>
    </row>
    <row r="8" spans="1:9" ht="14.4" x14ac:dyDescent="0.3">
      <c r="A8" s="41" t="s">
        <v>17</v>
      </c>
      <c r="B8" s="6" t="s">
        <v>40</v>
      </c>
      <c r="C8" s="75">
        <v>-0.36202615991027931</v>
      </c>
      <c r="D8" s="75">
        <v>-0.50689485877434171</v>
      </c>
      <c r="E8" s="75">
        <v>-0.56096092309493195</v>
      </c>
      <c r="F8" s="75">
        <v>-0.52725326563698127</v>
      </c>
      <c r="G8" s="75">
        <v>6.9732381828313669E-3</v>
      </c>
      <c r="H8" s="75">
        <v>0.13882677073829555</v>
      </c>
    </row>
    <row r="9" spans="1:9" ht="14.4" x14ac:dyDescent="0.3">
      <c r="A9" s="42" t="s">
        <v>18</v>
      </c>
      <c r="B9" s="7" t="s">
        <v>41</v>
      </c>
      <c r="C9" s="75">
        <v>0.22177344213836583</v>
      </c>
      <c r="D9" s="75">
        <v>-0.79871236311631066</v>
      </c>
      <c r="E9" s="75">
        <v>0.52320581678138067</v>
      </c>
      <c r="F9" s="75">
        <v>1.0405159578267343E-2</v>
      </c>
      <c r="G9" s="75">
        <v>-8.0749261885551454E-2</v>
      </c>
      <c r="H9" s="75">
        <v>-0.1802832882229484</v>
      </c>
    </row>
    <row r="10" spans="1:9" ht="14.4" x14ac:dyDescent="0.3">
      <c r="A10" s="42" t="s">
        <v>19</v>
      </c>
      <c r="B10" s="7" t="s">
        <v>42</v>
      </c>
      <c r="C10" s="75">
        <v>-0.46392049713466366</v>
      </c>
      <c r="D10" s="75">
        <v>3.2324206428173734E-2</v>
      </c>
      <c r="E10" s="75">
        <v>0.28341337452531129</v>
      </c>
      <c r="F10" s="75">
        <v>9.0514880573859965E-2</v>
      </c>
      <c r="G10" s="75">
        <v>-0.71255658958650525</v>
      </c>
      <c r="H10" s="75">
        <v>0.43298953819791047</v>
      </c>
    </row>
    <row r="11" spans="1:9" ht="14.4" x14ac:dyDescent="0.3">
      <c r="A11" s="42" t="s">
        <v>20</v>
      </c>
      <c r="B11" s="7" t="s">
        <v>43</v>
      </c>
      <c r="C11" s="75">
        <v>0.47598940974963488</v>
      </c>
      <c r="D11" s="75">
        <v>-4.647614861908695E-2</v>
      </c>
      <c r="E11" s="75">
        <v>5.2459772611746863E-2</v>
      </c>
      <c r="F11" s="75">
        <v>-0.11292957285410167</v>
      </c>
      <c r="G11" s="75">
        <v>0.20750822295377322</v>
      </c>
      <c r="H11" s="75">
        <v>0.84422110294330577</v>
      </c>
    </row>
    <row r="12" spans="1:9" ht="14.4" x14ac:dyDescent="0.3">
      <c r="A12" s="42" t="s">
        <v>21</v>
      </c>
      <c r="B12" s="7" t="s">
        <v>44</v>
      </c>
      <c r="C12" s="75">
        <v>0.44115775321981981</v>
      </c>
      <c r="D12" s="75">
        <v>0.25547845003959796</v>
      </c>
      <c r="E12" s="75">
        <v>7.019054547044945E-2</v>
      </c>
      <c r="F12" s="75">
        <v>-0.68630147094255711</v>
      </c>
      <c r="G12" s="75">
        <v>-0.46628468396277239</v>
      </c>
      <c r="H12" s="75">
        <v>-0.2162238889433489</v>
      </c>
    </row>
    <row r="13" spans="1:9" ht="15" thickBot="1" x14ac:dyDescent="0.35">
      <c r="A13" s="43" t="s">
        <v>22</v>
      </c>
      <c r="B13" s="8" t="s">
        <v>45</v>
      </c>
      <c r="C13" s="75">
        <v>-0.42818838239877521</v>
      </c>
      <c r="D13" s="75">
        <v>0.19142110125843054</v>
      </c>
      <c r="E13" s="75">
        <v>0.56883796881965532</v>
      </c>
      <c r="F13" s="75">
        <v>-0.47952057878787807</v>
      </c>
      <c r="G13" s="75">
        <v>0.47456608412247225</v>
      </c>
      <c r="H13" s="75">
        <v>3.5820144059739226E-2</v>
      </c>
    </row>
    <row r="15" spans="1:9" x14ac:dyDescent="0.25">
      <c r="B15" s="40" t="s">
        <v>16</v>
      </c>
    </row>
    <row r="16" spans="1:9" ht="13.8" thickBot="1" x14ac:dyDescent="0.3">
      <c r="C16" s="1">
        <v>1</v>
      </c>
      <c r="D16" s="1">
        <f>C16+1</f>
        <v>2</v>
      </c>
      <c r="E16" s="1">
        <f t="shared" ref="E16:H16" si="1">D16+1</f>
        <v>3</v>
      </c>
      <c r="F16" s="1">
        <f t="shared" si="1"/>
        <v>4</v>
      </c>
      <c r="G16" s="1">
        <f t="shared" si="1"/>
        <v>5</v>
      </c>
      <c r="H16" s="1">
        <f t="shared" si="1"/>
        <v>6</v>
      </c>
    </row>
    <row r="17" spans="1:8" ht="13.8" thickBot="1" x14ac:dyDescent="0.3">
      <c r="B17" s="18" t="s">
        <v>10</v>
      </c>
      <c r="C17" s="3" t="s">
        <v>2</v>
      </c>
      <c r="D17" s="4" t="s">
        <v>3</v>
      </c>
      <c r="E17" s="4" t="s">
        <v>4</v>
      </c>
      <c r="F17" s="4" t="s">
        <v>5</v>
      </c>
      <c r="G17" s="4" t="s">
        <v>6</v>
      </c>
      <c r="H17" s="5" t="s">
        <v>7</v>
      </c>
    </row>
    <row r="18" spans="1:8" x14ac:dyDescent="0.25">
      <c r="A18" s="41" t="s">
        <v>17</v>
      </c>
      <c r="B18" s="6" t="s">
        <v>40</v>
      </c>
      <c r="C18" s="9" cm="1">
        <f t="array" ref="C18:H23">C8:H13*POWER(C2:H2,0.5)</f>
        <v>-0.75441887869146185</v>
      </c>
      <c r="D18" s="10">
        <v>-0.5259817300872307</v>
      </c>
      <c r="E18" s="10">
        <v>-0.33688355233869854</v>
      </c>
      <c r="F18" s="10">
        <v>-0.20119370776767698</v>
      </c>
      <c r="G18" s="10">
        <v>1.7487170511220223E-3</v>
      </c>
      <c r="H18" s="11">
        <v>1.4929206120576263E-2</v>
      </c>
    </row>
    <row r="19" spans="1:8" x14ac:dyDescent="0.25">
      <c r="A19" s="42" t="s">
        <v>18</v>
      </c>
      <c r="B19" s="7" t="s">
        <v>41</v>
      </c>
      <c r="C19" s="12">
        <v>0.46214912088959564</v>
      </c>
      <c r="D19" s="13">
        <v>-0.82878747598621882</v>
      </c>
      <c r="E19" s="13">
        <v>0.3142098262194874</v>
      </c>
      <c r="F19" s="13">
        <v>3.9704877558924901E-3</v>
      </c>
      <c r="G19" s="13">
        <v>-2.02499337355843E-2</v>
      </c>
      <c r="H19" s="14">
        <v>-1.9387372879611363E-2</v>
      </c>
    </row>
    <row r="20" spans="1:8" x14ac:dyDescent="0.25">
      <c r="A20" s="42" t="s">
        <v>19</v>
      </c>
      <c r="B20" s="7" t="s">
        <v>42</v>
      </c>
      <c r="C20" s="12">
        <v>-0.96675439514386574</v>
      </c>
      <c r="D20" s="13">
        <v>3.3541358185991167E-2</v>
      </c>
      <c r="E20" s="13">
        <v>0.17020312905864776</v>
      </c>
      <c r="F20" s="13">
        <v>3.4539424632680837E-2</v>
      </c>
      <c r="G20" s="13">
        <v>-0.17869171042617921</v>
      </c>
      <c r="H20" s="14">
        <v>4.6562993790264538E-2</v>
      </c>
    </row>
    <row r="21" spans="1:8" x14ac:dyDescent="0.25">
      <c r="A21" s="42" t="s">
        <v>20</v>
      </c>
      <c r="B21" s="7" t="s">
        <v>43</v>
      </c>
      <c r="C21" s="12">
        <v>0.99190455424913127</v>
      </c>
      <c r="D21" s="13">
        <v>-4.8226184652113917E-2</v>
      </c>
      <c r="E21" s="13">
        <v>3.1504573357482975E-2</v>
      </c>
      <c r="F21" s="13">
        <v>-4.3092610250004867E-2</v>
      </c>
      <c r="G21" s="13">
        <v>5.2037971199766886E-2</v>
      </c>
      <c r="H21" s="14">
        <v>9.0786170348512885E-2</v>
      </c>
    </row>
    <row r="22" spans="1:8" x14ac:dyDescent="0.25">
      <c r="A22" s="42" t="s">
        <v>21</v>
      </c>
      <c r="B22" s="7" t="s">
        <v>44</v>
      </c>
      <c r="C22" s="12">
        <v>0.91931958064197106</v>
      </c>
      <c r="D22" s="13">
        <v>0.26509836275860416</v>
      </c>
      <c r="E22" s="13">
        <v>4.2152740636934381E-2</v>
      </c>
      <c r="F22" s="13">
        <v>-0.26188465123782223</v>
      </c>
      <c r="G22" s="13">
        <v>-0.11693275866158123</v>
      </c>
      <c r="H22" s="14">
        <v>-2.3252366881839341E-2</v>
      </c>
    </row>
    <row r="23" spans="1:8" ht="13.8" thickBot="1" x14ac:dyDescent="0.3">
      <c r="A23" s="43" t="s">
        <v>22</v>
      </c>
      <c r="B23" s="8" t="s">
        <v>45</v>
      </c>
      <c r="C23" s="15">
        <v>-0.89229297517630224</v>
      </c>
      <c r="D23" s="16">
        <v>0.19862896668268346</v>
      </c>
      <c r="E23" s="16">
        <v>0.34161409066396814</v>
      </c>
      <c r="F23" s="16">
        <v>-0.18297947018058044</v>
      </c>
      <c r="G23" s="16">
        <v>0.11900953064136061</v>
      </c>
      <c r="H23" s="17">
        <v>3.8520402879980431E-3</v>
      </c>
    </row>
    <row r="25" spans="1:8" ht="13.8" thickBot="1" x14ac:dyDescent="0.3">
      <c r="B25" s="40" t="s">
        <v>15</v>
      </c>
    </row>
    <row r="26" spans="1:8" ht="16.2" thickBot="1" x14ac:dyDescent="0.3">
      <c r="B26" s="18" t="s">
        <v>11</v>
      </c>
      <c r="C26" s="3" t="s">
        <v>2</v>
      </c>
      <c r="D26" s="4" t="s">
        <v>3</v>
      </c>
      <c r="E26" s="4" t="s">
        <v>4</v>
      </c>
      <c r="F26" s="4" t="s">
        <v>5</v>
      </c>
      <c r="G26" s="4" t="s">
        <v>6</v>
      </c>
      <c r="H26" s="4" t="s">
        <v>7</v>
      </c>
    </row>
    <row r="27" spans="1:8" x14ac:dyDescent="0.25">
      <c r="A27" s="41" t="s">
        <v>17</v>
      </c>
      <c r="B27" s="6" t="s">
        <v>40</v>
      </c>
      <c r="C27" s="28" cm="1">
        <f t="array" ref="C27:H32">POWER(C18:H23,2)</f>
        <v>0.56914784452608258</v>
      </c>
      <c r="D27" s="29">
        <v>0.27665678038555641</v>
      </c>
      <c r="E27" s="29">
        <v>0.11349052783634064</v>
      </c>
      <c r="F27" s="29">
        <v>4.0478908045305406E-2</v>
      </c>
      <c r="G27" s="29">
        <v>3.0580113248849014E-6</v>
      </c>
      <c r="H27" s="30">
        <v>2.2288119539065176E-4</v>
      </c>
    </row>
    <row r="28" spans="1:8" x14ac:dyDescent="0.25">
      <c r="A28" s="42" t="s">
        <v>18</v>
      </c>
      <c r="B28" s="7" t="s">
        <v>41</v>
      </c>
      <c r="C28" s="31">
        <v>0.21358180993902609</v>
      </c>
      <c r="D28" s="32">
        <v>0.68688868035160722</v>
      </c>
      <c r="E28" s="32">
        <v>9.8727814892880475E-2</v>
      </c>
      <c r="F28" s="32">
        <v>1.5764773019692183E-5</v>
      </c>
      <c r="G28" s="32">
        <v>4.1005981629555513E-4</v>
      </c>
      <c r="H28" s="33">
        <v>3.7587022717309017E-4</v>
      </c>
    </row>
    <row r="29" spans="1:8" x14ac:dyDescent="0.25">
      <c r="A29" s="42" t="s">
        <v>19</v>
      </c>
      <c r="B29" s="7" t="s">
        <v>42</v>
      </c>
      <c r="C29" s="31">
        <v>0.93461406052998175</v>
      </c>
      <c r="D29" s="32">
        <v>1.1250227089609566E-3</v>
      </c>
      <c r="E29" s="32">
        <v>2.8969105141354708E-2</v>
      </c>
      <c r="F29" s="32">
        <v>1.1929718539566397E-3</v>
      </c>
      <c r="G29" s="32">
        <v>3.1930727375033482E-2</v>
      </c>
      <c r="H29" s="33">
        <v>2.1681123907122141E-3</v>
      </c>
    </row>
    <row r="30" spans="1:8" x14ac:dyDescent="0.25">
      <c r="A30" s="42" t="s">
        <v>20</v>
      </c>
      <c r="B30" s="7" t="s">
        <v>43</v>
      </c>
      <c r="C30" s="31">
        <v>0.98387464474016784</v>
      </c>
      <c r="D30" s="32">
        <v>2.3257648860997879E-3</v>
      </c>
      <c r="E30" s="32">
        <v>9.9253814243702599E-4</v>
      </c>
      <c r="F30" s="32">
        <v>1.8569730581588246E-3</v>
      </c>
      <c r="G30" s="32">
        <v>2.7079504465877678E-3</v>
      </c>
      <c r="H30" s="33">
        <v>8.2421287265492006E-3</v>
      </c>
    </row>
    <row r="31" spans="1:8" x14ac:dyDescent="0.25">
      <c r="A31" s="42" t="s">
        <v>21</v>
      </c>
      <c r="B31" s="7" t="s">
        <v>44</v>
      </c>
      <c r="C31" s="31">
        <v>0.84514849135172954</v>
      </c>
      <c r="D31" s="32">
        <v>7.0277141937292481E-2</v>
      </c>
      <c r="E31" s="32">
        <v>1.7768535432046591E-3</v>
      </c>
      <c r="F31" s="32">
        <v>6.8583570553955781E-2</v>
      </c>
      <c r="G31" s="32">
        <v>1.3673270048207601E-2</v>
      </c>
      <c r="H31" s="33">
        <v>5.4067256560765898E-4</v>
      </c>
    </row>
    <row r="32" spans="1:8" ht="13.8" thickBot="1" x14ac:dyDescent="0.3">
      <c r="A32" s="43" t="s">
        <v>22</v>
      </c>
      <c r="B32" s="8" t="s">
        <v>45</v>
      </c>
      <c r="C32" s="34">
        <v>0.79618675354897717</v>
      </c>
      <c r="D32" s="35">
        <v>3.9453466405430578E-2</v>
      </c>
      <c r="E32" s="35">
        <v>0.11670018694016984</v>
      </c>
      <c r="F32" s="35">
        <v>3.3481486507565932E-2</v>
      </c>
      <c r="G32" s="35">
        <v>1.416326838347695E-2</v>
      </c>
      <c r="H32" s="36">
        <v>1.4838214380360046E-5</v>
      </c>
    </row>
    <row r="34" spans="1:8" ht="13.8" thickBot="1" x14ac:dyDescent="0.3">
      <c r="B34" s="40" t="s">
        <v>14</v>
      </c>
    </row>
    <row r="35" spans="1:8" ht="13.8" thickBot="1" x14ac:dyDescent="0.3">
      <c r="B35" s="18"/>
      <c r="C35" s="3" t="s">
        <v>2</v>
      </c>
      <c r="D35" s="4" t="s">
        <v>3</v>
      </c>
      <c r="E35" s="4" t="s">
        <v>4</v>
      </c>
      <c r="F35" s="4" t="s">
        <v>5</v>
      </c>
      <c r="G35" s="4" t="s">
        <v>6</v>
      </c>
      <c r="H35" s="5" t="s">
        <v>7</v>
      </c>
    </row>
    <row r="36" spans="1:8" x14ac:dyDescent="0.25">
      <c r="A36" s="41" t="s">
        <v>17</v>
      </c>
      <c r="B36" s="6" t="s">
        <v>40</v>
      </c>
      <c r="C36" s="19" cm="1">
        <f t="array" ref="C36:C41">C27:C32</f>
        <v>0.56914784452608258</v>
      </c>
      <c r="D36" s="20" cm="1">
        <f t="array" ref="D36:D41">C36:C41+D27:D32</f>
        <v>0.84580462491163899</v>
      </c>
      <c r="E36" s="20" cm="1">
        <f t="array" ref="E36:E41">D36:D41+E27:E32</f>
        <v>0.95929515274797961</v>
      </c>
      <c r="F36" s="20" cm="1">
        <f t="array" ref="F36:F41">E36:E41+F27:F32</f>
        <v>0.99977406079328501</v>
      </c>
      <c r="G36" s="20" cm="1">
        <f t="array" ref="G36:G41">_xlfn.ANCHORARRAY(F36)+G27:G32</f>
        <v>0.99977711880460984</v>
      </c>
      <c r="H36" s="21" cm="1">
        <f t="array" ref="H36:H41">_xlfn.ANCHORARRAY(G36)+H27:H32</f>
        <v>1.0000000000000004</v>
      </c>
    </row>
    <row r="37" spans="1:8" x14ac:dyDescent="0.25">
      <c r="A37" s="42" t="s">
        <v>18</v>
      </c>
      <c r="B37" s="7" t="s">
        <v>41</v>
      </c>
      <c r="C37" s="22">
        <v>0.21358180993902609</v>
      </c>
      <c r="D37" s="23">
        <v>0.90047049029063331</v>
      </c>
      <c r="E37" s="23">
        <v>0.99919830518351382</v>
      </c>
      <c r="F37" s="23">
        <v>0.9992140699565335</v>
      </c>
      <c r="G37" s="23">
        <v>0.99962412977282911</v>
      </c>
      <c r="H37" s="24">
        <v>1.0000000000000022</v>
      </c>
    </row>
    <row r="38" spans="1:8" x14ac:dyDescent="0.25">
      <c r="A38" s="42" t="s">
        <v>19</v>
      </c>
      <c r="B38" s="7" t="s">
        <v>42</v>
      </c>
      <c r="C38" s="22">
        <v>0.93461406052998175</v>
      </c>
      <c r="D38" s="23">
        <v>0.93573908323894273</v>
      </c>
      <c r="E38" s="23">
        <v>0.96470818838029748</v>
      </c>
      <c r="F38" s="23">
        <v>0.9659011602342541</v>
      </c>
      <c r="G38" s="23">
        <v>0.99783188760928754</v>
      </c>
      <c r="H38" s="24">
        <v>0.99999999999999978</v>
      </c>
    </row>
    <row r="39" spans="1:8" x14ac:dyDescent="0.25">
      <c r="A39" s="42" t="s">
        <v>20</v>
      </c>
      <c r="B39" s="7" t="s">
        <v>43</v>
      </c>
      <c r="C39" s="22">
        <v>0.98387464474016784</v>
      </c>
      <c r="D39" s="23">
        <v>0.98620040962626765</v>
      </c>
      <c r="E39" s="23">
        <v>0.9871929477687047</v>
      </c>
      <c r="F39" s="23">
        <v>0.98904992082686349</v>
      </c>
      <c r="G39" s="23">
        <v>0.99175787127345127</v>
      </c>
      <c r="H39" s="24">
        <v>1.0000000000000004</v>
      </c>
    </row>
    <row r="40" spans="1:8" x14ac:dyDescent="0.25">
      <c r="A40" s="42" t="s">
        <v>21</v>
      </c>
      <c r="B40" s="7" t="s">
        <v>44</v>
      </c>
      <c r="C40" s="22">
        <v>0.84514849135172954</v>
      </c>
      <c r="D40" s="23">
        <v>0.91542563328902204</v>
      </c>
      <c r="E40" s="23">
        <v>0.91720248683222672</v>
      </c>
      <c r="F40" s="23">
        <v>0.98578605738618252</v>
      </c>
      <c r="G40" s="23">
        <v>0.99945932743439014</v>
      </c>
      <c r="H40" s="24">
        <v>0.99999999999999778</v>
      </c>
    </row>
    <row r="41" spans="1:8" ht="13.8" thickBot="1" x14ac:dyDescent="0.3">
      <c r="A41" s="43" t="s">
        <v>22</v>
      </c>
      <c r="B41" s="8" t="s">
        <v>45</v>
      </c>
      <c r="C41" s="25">
        <v>0.79618675354897717</v>
      </c>
      <c r="D41" s="26">
        <v>0.83564021995440774</v>
      </c>
      <c r="E41" s="26">
        <v>0.95234040689457755</v>
      </c>
      <c r="F41" s="26">
        <v>0.98582189340214343</v>
      </c>
      <c r="G41" s="26">
        <v>0.99998516178562036</v>
      </c>
      <c r="H41" s="27">
        <v>1.0000000000000007</v>
      </c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"/>
  <sheetViews>
    <sheetView zoomScale="102" zoomScaleNormal="102" workbookViewId="0">
      <selection activeCell="I31" sqref="I31"/>
    </sheetView>
  </sheetViews>
  <sheetFormatPr defaultRowHeight="13.2" x14ac:dyDescent="0.25"/>
  <cols>
    <col min="1" max="1" width="8.88671875" style="44"/>
    <col min="2" max="2" width="10.6640625" style="44" customWidth="1"/>
    <col min="3" max="16384" width="8.88671875" style="44"/>
  </cols>
  <sheetData>
    <row r="1" spans="1:8" ht="13.8" thickBot="1" x14ac:dyDescent="0.3">
      <c r="B1" s="84" t="s">
        <v>8</v>
      </c>
    </row>
    <row r="2" spans="1:8" ht="14.4" x14ac:dyDescent="0.3">
      <c r="A2" s="45">
        <v>1</v>
      </c>
      <c r="B2" s="75">
        <v>4.3425536046359614</v>
      </c>
    </row>
    <row r="3" spans="1:8" ht="14.4" x14ac:dyDescent="0.3">
      <c r="A3" s="46">
        <v>2</v>
      </c>
      <c r="B3" s="75">
        <v>1.0767268566749457</v>
      </c>
    </row>
    <row r="4" spans="1:8" ht="14.4" x14ac:dyDescent="0.3">
      <c r="A4" s="46">
        <v>3</v>
      </c>
      <c r="B4" s="75">
        <v>0.36065702649638703</v>
      </c>
    </row>
    <row r="5" spans="1:8" ht="14.4" x14ac:dyDescent="0.3">
      <c r="A5" s="46">
        <v>4</v>
      </c>
      <c r="B5" s="75">
        <v>0.14560967479196235</v>
      </c>
    </row>
    <row r="6" spans="1:8" ht="14.4" x14ac:dyDescent="0.3">
      <c r="A6" s="46">
        <v>5</v>
      </c>
      <c r="B6" s="75">
        <v>6.2888334080926242E-2</v>
      </c>
    </row>
    <row r="7" spans="1:8" ht="15" thickBot="1" x14ac:dyDescent="0.35">
      <c r="A7" s="47">
        <f>A6+1</f>
        <v>6</v>
      </c>
      <c r="B7" s="75">
        <v>1.156450331981318E-2</v>
      </c>
    </row>
    <row r="15" spans="1:8" x14ac:dyDescent="0.25">
      <c r="D15" s="48" t="s">
        <v>30</v>
      </c>
      <c r="E15" s="48"/>
      <c r="F15" s="48" t="s">
        <v>33</v>
      </c>
      <c r="G15" s="48"/>
      <c r="H15" s="48"/>
    </row>
    <row r="17" spans="4:5" x14ac:dyDescent="0.25">
      <c r="D17" s="44">
        <v>0</v>
      </c>
      <c r="E17" s="44">
        <v>1</v>
      </c>
    </row>
    <row r="18" spans="4:5" x14ac:dyDescent="0.25">
      <c r="D18" s="44">
        <v>14</v>
      </c>
      <c r="E18" s="44">
        <v>1</v>
      </c>
    </row>
  </sheetData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S22"/>
  <sheetViews>
    <sheetView zoomScale="115" workbookViewId="0">
      <selection activeCell="S11" sqref="S11"/>
    </sheetView>
  </sheetViews>
  <sheetFormatPr defaultRowHeight="13.2" x14ac:dyDescent="0.25"/>
  <cols>
    <col min="1" max="1" width="8.88671875" style="44"/>
    <col min="2" max="2" width="11.109375" style="44" customWidth="1"/>
    <col min="3" max="16384" width="8.88671875" style="44"/>
  </cols>
  <sheetData>
    <row r="1" spans="1:8" x14ac:dyDescent="0.25">
      <c r="A1"/>
      <c r="B1"/>
      <c r="C1">
        <v>1</v>
      </c>
      <c r="D1">
        <v>2</v>
      </c>
      <c r="E1">
        <v>3</v>
      </c>
      <c r="F1">
        <v>4</v>
      </c>
      <c r="G1">
        <v>5</v>
      </c>
      <c r="H1">
        <v>6</v>
      </c>
    </row>
    <row r="2" spans="1:8" x14ac:dyDescent="0.25">
      <c r="A2"/>
      <c r="B2" s="83" t="s">
        <v>10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</row>
    <row r="3" spans="1:8" x14ac:dyDescent="0.25">
      <c r="A3" t="s">
        <v>17</v>
      </c>
      <c r="B3" t="s">
        <v>40</v>
      </c>
      <c r="C3">
        <v>-0.754</v>
      </c>
      <c r="D3">
        <v>-0.52600000000000002</v>
      </c>
      <c r="E3">
        <v>-0.33700000000000002</v>
      </c>
      <c r="F3">
        <v>-0.20100000000000001</v>
      </c>
      <c r="G3">
        <v>2E-3</v>
      </c>
      <c r="H3">
        <v>1.4999999999999999E-2</v>
      </c>
    </row>
    <row r="4" spans="1:8" x14ac:dyDescent="0.25">
      <c r="A4" t="s">
        <v>18</v>
      </c>
      <c r="B4" t="s">
        <v>41</v>
      </c>
      <c r="C4">
        <v>0.46200000000000002</v>
      </c>
      <c r="D4">
        <v>-0.82899999999999996</v>
      </c>
      <c r="E4">
        <v>0.314</v>
      </c>
      <c r="F4">
        <v>4.0000000000000001E-3</v>
      </c>
      <c r="G4">
        <v>-0.02</v>
      </c>
      <c r="H4">
        <v>-1.9E-2</v>
      </c>
    </row>
    <row r="5" spans="1:8" x14ac:dyDescent="0.25">
      <c r="A5" t="s">
        <v>19</v>
      </c>
      <c r="B5" t="s">
        <v>42</v>
      </c>
      <c r="C5">
        <v>-0.96699999999999997</v>
      </c>
      <c r="D5">
        <v>3.4000000000000002E-2</v>
      </c>
      <c r="E5">
        <v>0.17</v>
      </c>
      <c r="F5">
        <v>3.5000000000000003E-2</v>
      </c>
      <c r="G5">
        <v>-0.17899999999999999</v>
      </c>
      <c r="H5">
        <v>4.7E-2</v>
      </c>
    </row>
    <row r="6" spans="1:8" x14ac:dyDescent="0.25">
      <c r="A6" t="s">
        <v>20</v>
      </c>
      <c r="B6" t="s">
        <v>43</v>
      </c>
      <c r="C6">
        <v>0.99199999999999999</v>
      </c>
      <c r="D6">
        <v>-4.8000000000000001E-2</v>
      </c>
      <c r="E6">
        <v>3.2000000000000001E-2</v>
      </c>
      <c r="F6">
        <v>-4.2999999999999997E-2</v>
      </c>
      <c r="G6">
        <v>5.1999999999999998E-2</v>
      </c>
      <c r="H6">
        <v>9.0999999999999998E-2</v>
      </c>
    </row>
    <row r="7" spans="1:8" x14ac:dyDescent="0.25">
      <c r="A7" t="s">
        <v>21</v>
      </c>
      <c r="B7" t="s">
        <v>44</v>
      </c>
      <c r="C7">
        <v>0.91900000000000004</v>
      </c>
      <c r="D7">
        <v>0.26500000000000001</v>
      </c>
      <c r="E7">
        <v>4.2000000000000003E-2</v>
      </c>
      <c r="F7">
        <v>-0.26200000000000001</v>
      </c>
      <c r="G7">
        <v>-0.11700000000000001</v>
      </c>
      <c r="H7">
        <v>-2.3E-2</v>
      </c>
    </row>
    <row r="8" spans="1:8" x14ac:dyDescent="0.25">
      <c r="A8" t="s">
        <v>22</v>
      </c>
      <c r="B8" t="s">
        <v>45</v>
      </c>
      <c r="C8">
        <v>-0.89200000000000002</v>
      </c>
      <c r="D8">
        <v>0.19900000000000001</v>
      </c>
      <c r="E8">
        <v>0.34200000000000003</v>
      </c>
      <c r="F8">
        <v>-0.183</v>
      </c>
      <c r="G8">
        <v>0.11899999999999999</v>
      </c>
      <c r="H8">
        <v>4.0000000000000001E-3</v>
      </c>
    </row>
    <row r="15" spans="1:8" ht="13.8" thickBot="1" x14ac:dyDescent="0.3">
      <c r="E15" s="52">
        <v>1</v>
      </c>
      <c r="F15" s="52">
        <v>2</v>
      </c>
    </row>
    <row r="16" spans="1:8" ht="13.8" thickBot="1" x14ac:dyDescent="0.3">
      <c r="E16" s="50" t="s">
        <v>31</v>
      </c>
      <c r="F16" s="51" t="s">
        <v>32</v>
      </c>
    </row>
    <row r="17" spans="3:19" ht="13.8" thickBot="1" x14ac:dyDescent="0.3">
      <c r="C17" s="44">
        <v>3</v>
      </c>
      <c r="D17" s="6" t="s">
        <v>40</v>
      </c>
      <c r="E17" s="53">
        <f>HLOOKUP(E$15,$C$1:$H$8,$C17,FALSE)</f>
        <v>-0.754</v>
      </c>
      <c r="F17" s="53">
        <f t="shared" ref="F17:F22" si="0">HLOOKUP(F$15,$C$1:$H$8,$C17,FALSE)</f>
        <v>-0.52600000000000002</v>
      </c>
      <c r="K17" s="44">
        <v>1</v>
      </c>
      <c r="L17" s="44" t="s">
        <v>34</v>
      </c>
      <c r="N17" s="44" t="s">
        <v>35</v>
      </c>
      <c r="O17" s="44" t="str">
        <f>VLOOKUP(E15,$K$17:$L$19,2,FALSE)</f>
        <v>First</v>
      </c>
      <c r="P17" s="44" t="s">
        <v>36</v>
      </c>
      <c r="S17" s="44" t="str">
        <f>CONCATENATE(O17,P17)</f>
        <v>First Principle Component</v>
      </c>
    </row>
    <row r="18" spans="3:19" ht="13.8" thickBot="1" x14ac:dyDescent="0.3">
      <c r="C18" s="44">
        <f>C17+1</f>
        <v>4</v>
      </c>
      <c r="D18" s="7" t="s">
        <v>41</v>
      </c>
      <c r="E18" s="53">
        <f t="shared" ref="E18:F22" si="1">HLOOKUP(E$15,$C$1:$H$8,$C18,FALSE)</f>
        <v>0.46200000000000002</v>
      </c>
      <c r="F18" s="53">
        <f t="shared" si="0"/>
        <v>-0.82899999999999996</v>
      </c>
      <c r="K18" s="44">
        <v>2</v>
      </c>
      <c r="L18" s="44" t="s">
        <v>37</v>
      </c>
      <c r="N18" s="44" t="s">
        <v>38</v>
      </c>
      <c r="O18" s="44" t="str">
        <f>VLOOKUP(F15,$K$17:$L$19,2,FALSE)</f>
        <v>Second</v>
      </c>
      <c r="P18" s="44" t="s">
        <v>36</v>
      </c>
      <c r="S18" s="44" t="str">
        <f>CONCATENATE(O18,P18)</f>
        <v>Second Principle Component</v>
      </c>
    </row>
    <row r="19" spans="3:19" ht="13.8" thickBot="1" x14ac:dyDescent="0.3">
      <c r="C19" s="44">
        <f t="shared" ref="C19:C22" si="2">C18+1</f>
        <v>5</v>
      </c>
      <c r="D19" s="7" t="s">
        <v>42</v>
      </c>
      <c r="E19" s="53">
        <f t="shared" si="1"/>
        <v>-0.96699999999999997</v>
      </c>
      <c r="F19" s="53">
        <f t="shared" si="0"/>
        <v>3.4000000000000002E-2</v>
      </c>
      <c r="K19" s="44">
        <v>3</v>
      </c>
      <c r="L19" s="44" t="s">
        <v>39</v>
      </c>
    </row>
    <row r="20" spans="3:19" ht="13.8" thickBot="1" x14ac:dyDescent="0.3">
      <c r="C20" s="44">
        <f t="shared" si="2"/>
        <v>6</v>
      </c>
      <c r="D20" s="7" t="s">
        <v>43</v>
      </c>
      <c r="E20" s="53">
        <f t="shared" si="1"/>
        <v>0.99199999999999999</v>
      </c>
      <c r="F20" s="53">
        <f t="shared" si="0"/>
        <v>-4.8000000000000001E-2</v>
      </c>
    </row>
    <row r="21" spans="3:19" ht="13.8" thickBot="1" x14ac:dyDescent="0.3">
      <c r="C21" s="44">
        <f t="shared" si="2"/>
        <v>7</v>
      </c>
      <c r="D21" s="7" t="s">
        <v>44</v>
      </c>
      <c r="E21" s="53">
        <f t="shared" si="1"/>
        <v>0.91900000000000004</v>
      </c>
      <c r="F21" s="53">
        <f t="shared" si="0"/>
        <v>0.26500000000000001</v>
      </c>
    </row>
    <row r="22" spans="3:19" ht="13.8" thickBot="1" x14ac:dyDescent="0.3">
      <c r="C22" s="44">
        <f t="shared" si="2"/>
        <v>8</v>
      </c>
      <c r="D22" s="8" t="s">
        <v>45</v>
      </c>
      <c r="E22" s="53">
        <f t="shared" si="1"/>
        <v>-0.89200000000000002</v>
      </c>
      <c r="F22" s="53">
        <f t="shared" si="0"/>
        <v>0.19900000000000001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S27"/>
  <sheetViews>
    <sheetView zoomScale="115" workbookViewId="0">
      <selection activeCell="I22" sqref="I22"/>
    </sheetView>
  </sheetViews>
  <sheetFormatPr defaultRowHeight="13.2" x14ac:dyDescent="0.25"/>
  <cols>
    <col min="1" max="1" width="8.88671875" style="44"/>
    <col min="2" max="2" width="11.21875" style="44" customWidth="1"/>
    <col min="3" max="16384" width="8.88671875" style="44"/>
  </cols>
  <sheetData>
    <row r="1" spans="1:8" ht="13.8" thickBot="1" x14ac:dyDescent="0.3">
      <c r="C1" s="49">
        <v>1</v>
      </c>
      <c r="D1" s="49">
        <f>C1+1</f>
        <v>2</v>
      </c>
      <c r="E1" s="49">
        <f t="shared" ref="E1:H1" si="0">D1+1</f>
        <v>3</v>
      </c>
      <c r="F1" s="49">
        <f t="shared" si="0"/>
        <v>4</v>
      </c>
      <c r="G1" s="49">
        <f t="shared" si="0"/>
        <v>5</v>
      </c>
      <c r="H1" s="49">
        <f t="shared" si="0"/>
        <v>6</v>
      </c>
    </row>
    <row r="2" spans="1:8" ht="15" thickBot="1" x14ac:dyDescent="0.35">
      <c r="B2" s="55" t="s">
        <v>1</v>
      </c>
      <c r="C2" s="59" t="s">
        <v>2</v>
      </c>
      <c r="D2" s="60" t="s">
        <v>3</v>
      </c>
      <c r="E2" s="60" t="s">
        <v>4</v>
      </c>
      <c r="F2" s="60" t="s">
        <v>5</v>
      </c>
      <c r="G2" s="60" t="s">
        <v>6</v>
      </c>
      <c r="H2" s="61" t="s">
        <v>7</v>
      </c>
    </row>
    <row r="3" spans="1:8" ht="14.4" x14ac:dyDescent="0.3">
      <c r="A3" s="69">
        <v>1</v>
      </c>
      <c r="B3" s="56" t="s">
        <v>46</v>
      </c>
      <c r="C3" s="75">
        <v>-2.2796090313892452</v>
      </c>
      <c r="D3" s="75">
        <v>0.1618788683752477</v>
      </c>
      <c r="E3" s="75">
        <v>0.30336834221190467</v>
      </c>
      <c r="F3" s="75">
        <v>0.12703814960021265</v>
      </c>
      <c r="G3" s="75">
        <v>-0.31989657827226542</v>
      </c>
      <c r="H3" s="75">
        <v>0.14070965879715447</v>
      </c>
    </row>
    <row r="4" spans="1:8" ht="14.4" x14ac:dyDescent="0.3">
      <c r="A4" s="70">
        <f>A3+1</f>
        <v>2</v>
      </c>
      <c r="B4" s="56" t="s">
        <v>47</v>
      </c>
      <c r="C4" s="75">
        <v>1.6282523380311309</v>
      </c>
      <c r="D4" s="75">
        <v>1.0745867045432598</v>
      </c>
      <c r="E4" s="75">
        <v>-5.1367316689050146E-2</v>
      </c>
      <c r="F4" s="75">
        <v>-0.29917897918693381</v>
      </c>
      <c r="G4" s="75">
        <v>-0.29576115681978782</v>
      </c>
      <c r="H4" s="75">
        <v>-0.16056452343217478</v>
      </c>
    </row>
    <row r="5" spans="1:8" ht="14.4" x14ac:dyDescent="0.3">
      <c r="A5" s="70">
        <f t="shared" ref="A5:A12" si="1">A4+1</f>
        <v>3</v>
      </c>
      <c r="B5" s="56" t="s">
        <v>48</v>
      </c>
      <c r="C5" s="75">
        <v>-0.28368492965165415</v>
      </c>
      <c r="D5" s="75">
        <v>-1.2052954939918217E-2</v>
      </c>
      <c r="E5" s="75">
        <v>-0.84315671569846495</v>
      </c>
      <c r="F5" s="75">
        <v>0.10765251500969208</v>
      </c>
      <c r="G5" s="75">
        <v>-0.23449299011412553</v>
      </c>
      <c r="H5" s="75">
        <v>-1.9142555644778222E-4</v>
      </c>
    </row>
    <row r="6" spans="1:8" ht="14.4" x14ac:dyDescent="0.3">
      <c r="A6" s="70">
        <f t="shared" si="1"/>
        <v>4</v>
      </c>
      <c r="B6" s="56" t="s">
        <v>49</v>
      </c>
      <c r="C6" s="75">
        <v>0.70235149221225057</v>
      </c>
      <c r="D6" s="75">
        <v>0.64466751723321147</v>
      </c>
      <c r="E6" s="75">
        <v>-9.8791454576143273E-2</v>
      </c>
      <c r="F6" s="75">
        <v>-0.53062735177751463</v>
      </c>
      <c r="G6" s="75">
        <v>0.41843863185542768</v>
      </c>
      <c r="H6" s="75">
        <v>0.13424707607671654</v>
      </c>
    </row>
    <row r="7" spans="1:8" ht="14.4" x14ac:dyDescent="0.3">
      <c r="A7" s="70">
        <f t="shared" si="1"/>
        <v>5</v>
      </c>
      <c r="B7" s="56" t="s">
        <v>50</v>
      </c>
      <c r="C7" s="75">
        <v>-0.61151145700081511</v>
      </c>
      <c r="D7" s="75">
        <v>-1.1950786779461293</v>
      </c>
      <c r="E7" s="75">
        <v>-0.2168215323600915</v>
      </c>
      <c r="F7" s="75">
        <v>-0.63274024418228902</v>
      </c>
      <c r="G7" s="75">
        <v>2.9781311672228652E-2</v>
      </c>
      <c r="H7" s="75">
        <v>-8.3403339943621174E-2</v>
      </c>
    </row>
    <row r="8" spans="1:8" ht="14.4" x14ac:dyDescent="0.3">
      <c r="A8" s="70">
        <f t="shared" si="1"/>
        <v>6</v>
      </c>
      <c r="B8" s="56" t="s">
        <v>51</v>
      </c>
      <c r="C8" s="75">
        <v>2.9194901923161316</v>
      </c>
      <c r="D8" s="75">
        <v>1.251018814150648</v>
      </c>
      <c r="E8" s="75">
        <v>-0.2109185614004464</v>
      </c>
      <c r="F8" s="75">
        <v>0.30086813924032063</v>
      </c>
      <c r="G8" s="75">
        <v>1.7041358103285775E-3</v>
      </c>
      <c r="H8" s="75">
        <v>8.4544719377588146E-2</v>
      </c>
    </row>
    <row r="9" spans="1:8" ht="14.4" x14ac:dyDescent="0.3">
      <c r="A9" s="70">
        <f t="shared" si="1"/>
        <v>7</v>
      </c>
      <c r="B9" s="56" t="s">
        <v>52</v>
      </c>
      <c r="C9" s="75">
        <v>-0.62645242470772666</v>
      </c>
      <c r="D9" s="75">
        <v>-1.5322477656527322</v>
      </c>
      <c r="E9" s="75">
        <v>-0.69543655850007557</v>
      </c>
      <c r="F9" s="75">
        <v>0.24706494241654953</v>
      </c>
      <c r="G9" s="75">
        <v>2.9132467896484993E-2</v>
      </c>
      <c r="H9" s="75">
        <v>5.4048947308499226E-2</v>
      </c>
    </row>
    <row r="10" spans="1:8" ht="14.4" x14ac:dyDescent="0.3">
      <c r="A10" s="70">
        <f t="shared" si="1"/>
        <v>8</v>
      </c>
      <c r="B10" s="56" t="s">
        <v>53</v>
      </c>
      <c r="C10" s="75">
        <v>-0.71043925876253278</v>
      </c>
      <c r="D10" s="75">
        <v>-0.27167628285438783</v>
      </c>
      <c r="E10" s="75">
        <v>1.2428778984197089</v>
      </c>
      <c r="F10" s="75">
        <v>-0.14038091718955592</v>
      </c>
      <c r="G10" s="75">
        <v>-0.11753928696731702</v>
      </c>
      <c r="H10" s="75">
        <v>3.4576933786374497E-2</v>
      </c>
    </row>
    <row r="11" spans="1:8" ht="14.4" x14ac:dyDescent="0.3">
      <c r="A11" s="70">
        <f t="shared" si="1"/>
        <v>9</v>
      </c>
      <c r="B11" s="56" t="s">
        <v>54</v>
      </c>
      <c r="C11" s="75">
        <v>-3.5781105689423987</v>
      </c>
      <c r="D11" s="75">
        <v>1.0952361221965905</v>
      </c>
      <c r="E11" s="75">
        <v>1.2998528015498056E-2</v>
      </c>
      <c r="F11" s="75">
        <v>0.36768417804052567</v>
      </c>
      <c r="G11" s="75">
        <v>0.31906071621899779</v>
      </c>
      <c r="H11" s="75">
        <v>-0.12896345808820026</v>
      </c>
    </row>
    <row r="12" spans="1:8" ht="15" thickBot="1" x14ac:dyDescent="0.35">
      <c r="A12" s="70">
        <f t="shared" si="1"/>
        <v>10</v>
      </c>
      <c r="B12" s="57" t="s">
        <v>55</v>
      </c>
      <c r="C12" s="75">
        <v>2.8397136478948592</v>
      </c>
      <c r="D12" s="75">
        <v>-1.2163323451057924</v>
      </c>
      <c r="E12" s="75">
        <v>0.55724737057715923</v>
      </c>
      <c r="F12" s="75">
        <v>0.45261956802899361</v>
      </c>
      <c r="G12" s="75">
        <v>0.16957274872002726</v>
      </c>
      <c r="H12" s="75">
        <v>-7.5004588325887189E-2</v>
      </c>
    </row>
    <row r="16" spans="1:8" ht="13.8" thickBot="1" x14ac:dyDescent="0.3">
      <c r="D16" s="52">
        <v>1</v>
      </c>
      <c r="E16" s="52">
        <v>2</v>
      </c>
    </row>
    <row r="17" spans="2:19" ht="13.8" thickBot="1" x14ac:dyDescent="0.3">
      <c r="C17" s="54"/>
      <c r="D17" s="72" t="s">
        <v>31</v>
      </c>
      <c r="E17" s="73" t="s">
        <v>32</v>
      </c>
      <c r="K17" s="44">
        <v>1</v>
      </c>
      <c r="L17" s="44" t="s">
        <v>34</v>
      </c>
      <c r="N17" s="44" t="s">
        <v>35</v>
      </c>
      <c r="O17" s="44" t="str">
        <f>VLOOKUP(D16,$K$17:$L$19,2,FALSE)</f>
        <v>First</v>
      </c>
      <c r="P17" s="44" t="s">
        <v>36</v>
      </c>
      <c r="S17" s="44" t="str">
        <f>CONCATENATE(O17,P17)</f>
        <v>First Principle Component</v>
      </c>
    </row>
    <row r="18" spans="2:19" ht="13.8" thickBot="1" x14ac:dyDescent="0.3">
      <c r="B18" s="44">
        <v>3</v>
      </c>
      <c r="C18" s="68" t="s">
        <v>46</v>
      </c>
      <c r="D18" s="71">
        <f>HLOOKUP(D$16,$C$1:$H$12,$B18,FALSE)</f>
        <v>-2.2796090313892452</v>
      </c>
      <c r="E18" s="71">
        <f t="shared" ref="E18:E27" si="2">HLOOKUP(E$16,$C$1:$H$12,$B18,FALSE)</f>
        <v>0.1618788683752477</v>
      </c>
      <c r="K18" s="44">
        <v>2</v>
      </c>
      <c r="L18" s="44" t="s">
        <v>37</v>
      </c>
      <c r="N18" s="44" t="s">
        <v>38</v>
      </c>
      <c r="O18" s="44" t="str">
        <f>VLOOKUP(E16,$K$17:$L$19,2,FALSE)</f>
        <v>Second</v>
      </c>
      <c r="P18" s="44" t="s">
        <v>36</v>
      </c>
      <c r="S18" s="44" t="str">
        <f>CONCATENATE(O18,P18)</f>
        <v>Second Principle Component</v>
      </c>
    </row>
    <row r="19" spans="2:19" ht="13.8" thickBot="1" x14ac:dyDescent="0.3">
      <c r="B19" s="44">
        <f>B18+1</f>
        <v>4</v>
      </c>
      <c r="C19" s="56" t="s">
        <v>47</v>
      </c>
      <c r="D19" s="71">
        <f t="shared" ref="D19:E27" si="3">HLOOKUP(D$16,$C$1:$H$12,$B19,FALSE)</f>
        <v>1.6282523380311309</v>
      </c>
      <c r="E19" s="71">
        <f t="shared" si="2"/>
        <v>1.0745867045432598</v>
      </c>
      <c r="K19" s="44">
        <v>3</v>
      </c>
      <c r="L19" s="44" t="s">
        <v>39</v>
      </c>
    </row>
    <row r="20" spans="2:19" ht="13.8" thickBot="1" x14ac:dyDescent="0.3">
      <c r="B20" s="44">
        <f t="shared" ref="B20:B27" si="4">B19+1</f>
        <v>5</v>
      </c>
      <c r="C20" s="56" t="s">
        <v>48</v>
      </c>
      <c r="D20" s="71">
        <f t="shared" si="3"/>
        <v>-0.28368492965165415</v>
      </c>
      <c r="E20" s="71">
        <f t="shared" si="2"/>
        <v>-1.2052954939918217E-2</v>
      </c>
    </row>
    <row r="21" spans="2:19" ht="13.8" thickBot="1" x14ac:dyDescent="0.3">
      <c r="B21" s="44">
        <f t="shared" si="4"/>
        <v>6</v>
      </c>
      <c r="C21" s="56" t="s">
        <v>49</v>
      </c>
      <c r="D21" s="71">
        <f t="shared" si="3"/>
        <v>0.70235149221225057</v>
      </c>
      <c r="E21" s="71">
        <f t="shared" si="2"/>
        <v>0.64466751723321147</v>
      </c>
    </row>
    <row r="22" spans="2:19" ht="13.8" thickBot="1" x14ac:dyDescent="0.3">
      <c r="B22" s="44">
        <f t="shared" si="4"/>
        <v>7</v>
      </c>
      <c r="C22" s="56" t="s">
        <v>50</v>
      </c>
      <c r="D22" s="71">
        <f t="shared" si="3"/>
        <v>-0.61151145700081511</v>
      </c>
      <c r="E22" s="71">
        <f t="shared" si="2"/>
        <v>-1.1950786779461293</v>
      </c>
    </row>
    <row r="23" spans="2:19" ht="13.8" thickBot="1" x14ac:dyDescent="0.3">
      <c r="B23" s="44">
        <f t="shared" si="4"/>
        <v>8</v>
      </c>
      <c r="C23" s="56" t="s">
        <v>51</v>
      </c>
      <c r="D23" s="71">
        <f t="shared" si="3"/>
        <v>2.9194901923161316</v>
      </c>
      <c r="E23" s="71">
        <f t="shared" si="2"/>
        <v>1.251018814150648</v>
      </c>
    </row>
    <row r="24" spans="2:19" ht="13.8" thickBot="1" x14ac:dyDescent="0.3">
      <c r="B24" s="44">
        <f t="shared" si="4"/>
        <v>9</v>
      </c>
      <c r="C24" s="56" t="s">
        <v>52</v>
      </c>
      <c r="D24" s="71">
        <f t="shared" si="3"/>
        <v>-0.62645242470772666</v>
      </c>
      <c r="E24" s="71">
        <f t="shared" si="2"/>
        <v>-1.5322477656527322</v>
      </c>
    </row>
    <row r="25" spans="2:19" ht="13.8" thickBot="1" x14ac:dyDescent="0.3">
      <c r="B25" s="44">
        <f t="shared" si="4"/>
        <v>10</v>
      </c>
      <c r="C25" s="56" t="s">
        <v>53</v>
      </c>
      <c r="D25" s="71">
        <f t="shared" si="3"/>
        <v>-0.71043925876253278</v>
      </c>
      <c r="E25" s="71">
        <f t="shared" si="2"/>
        <v>-0.27167628285438783</v>
      </c>
    </row>
    <row r="26" spans="2:19" ht="13.8" thickBot="1" x14ac:dyDescent="0.3">
      <c r="B26" s="44">
        <f t="shared" si="4"/>
        <v>11</v>
      </c>
      <c r="C26" s="56" t="s">
        <v>54</v>
      </c>
      <c r="D26" s="71">
        <f t="shared" si="3"/>
        <v>-3.5781105689423987</v>
      </c>
      <c r="E26" s="71">
        <f t="shared" si="2"/>
        <v>1.0952361221965905</v>
      </c>
    </row>
    <row r="27" spans="2:19" ht="13.8" thickBot="1" x14ac:dyDescent="0.3">
      <c r="B27" s="44">
        <f t="shared" si="4"/>
        <v>12</v>
      </c>
      <c r="C27" s="57" t="s">
        <v>55</v>
      </c>
      <c r="D27" s="71">
        <f t="shared" si="3"/>
        <v>2.8397136478948592</v>
      </c>
      <c r="E27" s="71">
        <f t="shared" si="2"/>
        <v>-1.2163323451057924</v>
      </c>
    </row>
  </sheetData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Car Data</vt:lpstr>
      <vt:lpstr>MINITAB EIGEN OUTPUT</vt:lpstr>
      <vt:lpstr>MINITAB SCORE OUTPUT</vt:lpstr>
      <vt:lpstr>Loading Analysis Raw</vt:lpstr>
      <vt:lpstr>SCREE PLOT RAW</vt:lpstr>
      <vt:lpstr>LOADING PLOT</vt:lpstr>
      <vt:lpstr>SCORE PLOT</vt:lpstr>
    </vt:vector>
  </TitlesOfParts>
  <Company>GWU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Robin Sah</cp:lastModifiedBy>
  <dcterms:created xsi:type="dcterms:W3CDTF">2005-08-05T20:21:54Z</dcterms:created>
  <dcterms:modified xsi:type="dcterms:W3CDTF">2023-12-14T18:02:58Z</dcterms:modified>
</cp:coreProperties>
</file>