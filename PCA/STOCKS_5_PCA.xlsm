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" windowWidth="7380" windowHeight="6036" activeTab="2"/>
  </bookViews>
  <sheets>
    <sheet name="Correlation Matrix" sheetId="1" r:id="rId1"/>
    <sheet name="MINITAB OUTPUT" sheetId="5" r:id="rId2"/>
    <sheet name="Loading Analysis" sheetId="2" r:id="rId3"/>
    <sheet name="Scree Plot" sheetId="3" r:id="rId4"/>
    <sheet name="Loading Plot" sheetId="4" r:id="rId5"/>
  </sheets>
  <calcPr calcId="145621"/>
</workbook>
</file>

<file path=xl/calcChain.xml><?xml version="1.0" encoding="utf-8"?>
<calcChain xmlns="http://schemas.openxmlformats.org/spreadsheetml/2006/main">
  <c r="G30" i="2" l="1" a="1"/>
  <c r="G34" i="2" s="1"/>
  <c r="F30" i="2" a="1"/>
  <c r="F34" i="2" s="1"/>
  <c r="E30" i="2" a="1"/>
  <c r="E34" i="2" s="1"/>
  <c r="D30" i="2" a="1"/>
  <c r="D30" i="2"/>
  <c r="D31" i="2"/>
  <c r="D32" i="2"/>
  <c r="D33" i="2"/>
  <c r="D34" i="2"/>
  <c r="C30" i="2" a="1"/>
  <c r="C30" i="2"/>
  <c r="C31" i="2"/>
  <c r="C32" i="2"/>
  <c r="C33" i="2"/>
  <c r="C34" i="2"/>
  <c r="C22" i="2" a="1"/>
  <c r="C22" i="2"/>
  <c r="D22" i="2"/>
  <c r="E22" i="2"/>
  <c r="F22" i="2"/>
  <c r="G22" i="2"/>
  <c r="C23" i="2"/>
  <c r="D23" i="2"/>
  <c r="E23" i="2"/>
  <c r="F23" i="2"/>
  <c r="G23" i="2"/>
  <c r="C24" i="2"/>
  <c r="D24" i="2"/>
  <c r="E24" i="2"/>
  <c r="F24" i="2"/>
  <c r="G24" i="2"/>
  <c r="C25" i="2"/>
  <c r="D25" i="2"/>
  <c r="E25" i="2"/>
  <c r="F25" i="2"/>
  <c r="G25" i="2"/>
  <c r="C26" i="2"/>
  <c r="D26" i="2"/>
  <c r="E26" i="2"/>
  <c r="F26" i="2"/>
  <c r="G26" i="2"/>
  <c r="C14" i="2" a="1"/>
  <c r="C14" i="2"/>
  <c r="D14" i="2"/>
  <c r="E14" i="2"/>
  <c r="F14" i="2"/>
  <c r="G14" i="2"/>
  <c r="C15" i="2"/>
  <c r="D15" i="2"/>
  <c r="E15" i="2"/>
  <c r="F15" i="2"/>
  <c r="G15" i="2"/>
  <c r="C16" i="2"/>
  <c r="D16" i="2"/>
  <c r="E16" i="2"/>
  <c r="F16" i="2"/>
  <c r="G16" i="2"/>
  <c r="C17" i="2"/>
  <c r="D17" i="2"/>
  <c r="E17" i="2"/>
  <c r="F17" i="2"/>
  <c r="G17" i="2"/>
  <c r="C18" i="2"/>
  <c r="D18" i="2"/>
  <c r="E18" i="2"/>
  <c r="F18" i="2"/>
  <c r="G18" i="2"/>
  <c r="G30" i="2" l="1"/>
  <c r="G31" i="2"/>
  <c r="G32" i="2"/>
  <c r="G33" i="2"/>
  <c r="F30" i="2"/>
  <c r="F31" i="2"/>
  <c r="F32" i="2"/>
  <c r="F33" i="2"/>
  <c r="E30" i="2"/>
  <c r="E31" i="2"/>
  <c r="E32" i="2"/>
  <c r="E33" i="2"/>
  <c r="C2" i="2" a="1"/>
  <c r="C2" i="2"/>
  <c r="D2" i="2"/>
  <c r="E2" i="2"/>
  <c r="F2" i="2"/>
  <c r="G2" i="2"/>
  <c r="B2" i="5" a="1"/>
  <c r="B2" i="5"/>
  <c r="C2" i="5"/>
  <c r="D2" i="5"/>
  <c r="E2" i="5"/>
  <c r="F2" i="5"/>
  <c r="B3" i="5"/>
  <c r="C3" i="5"/>
  <c r="D3" i="5"/>
  <c r="E3" i="5"/>
  <c r="F3" i="5"/>
  <c r="B4" i="5"/>
  <c r="C4" i="5"/>
  <c r="D4" i="5"/>
  <c r="E4" i="5"/>
  <c r="F4" i="5"/>
  <c r="B5" i="5"/>
  <c r="C5" i="5"/>
  <c r="D5" i="5"/>
  <c r="E5" i="5"/>
  <c r="F5" i="5"/>
  <c r="B6" i="5"/>
  <c r="C6" i="5"/>
  <c r="D6" i="5"/>
  <c r="E6" i="5"/>
  <c r="F6" i="5"/>
  <c r="C7" i="2" l="1" a="1"/>
  <c r="G11" i="2" s="1"/>
  <c r="A12" i="4"/>
  <c r="A13" i="4" s="1"/>
  <c r="A14" i="4" s="1"/>
  <c r="A15" i="4" s="1"/>
  <c r="C7" i="2" l="1"/>
  <c r="D7" i="2"/>
  <c r="E7" i="2"/>
  <c r="F7" i="2"/>
  <c r="G7" i="2"/>
  <c r="C8" i="2"/>
  <c r="D8" i="2"/>
  <c r="E8" i="2"/>
  <c r="F8" i="2"/>
  <c r="G8" i="2"/>
  <c r="C9" i="2"/>
  <c r="D9" i="2"/>
  <c r="E9" i="2"/>
  <c r="F9" i="2"/>
  <c r="G9" i="2"/>
  <c r="C10" i="2"/>
  <c r="D10" i="2"/>
  <c r="E10" i="2"/>
  <c r="F10" i="2"/>
  <c r="G10" i="2"/>
  <c r="C11" i="2"/>
  <c r="D11" i="2"/>
  <c r="E11" i="2"/>
  <c r="F11" i="2"/>
  <c r="I2" i="2" l="1"/>
  <c r="L3" i="2" s="1"/>
  <c r="L4" i="2" s="1"/>
  <c r="B12" i="4"/>
  <c r="B13" i="4"/>
  <c r="B14" i="4"/>
  <c r="B15" i="4"/>
  <c r="B11" i="4"/>
  <c r="L5" i="2"/>
  <c r="L7" i="2"/>
  <c r="L6" i="2" l="1"/>
  <c r="L8" i="2" s="1"/>
  <c r="C3" i="4" a="1"/>
  <c r="H2" i="2"/>
  <c r="E3" i="4" l="1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C3" i="4"/>
  <c r="C11" i="4" s="1"/>
  <c r="C7" i="4"/>
  <c r="C15" i="4" s="1"/>
  <c r="C5" i="4"/>
  <c r="C13" i="4" s="1"/>
  <c r="C4" i="4"/>
  <c r="C12" i="4" s="1"/>
  <c r="D3" i="4"/>
  <c r="D11" i="4" s="1"/>
  <c r="D7" i="4"/>
  <c r="D15" i="4" s="1"/>
  <c r="D6" i="4"/>
  <c r="D14" i="4" s="1"/>
  <c r="D5" i="4"/>
  <c r="D13" i="4" s="1"/>
  <c r="D4" i="4"/>
  <c r="D12" i="4" s="1"/>
  <c r="C6" i="4"/>
  <c r="C14" i="4" s="1"/>
  <c r="D3" i="2"/>
  <c r="G3" i="2"/>
  <c r="F3" i="2"/>
  <c r="E3" i="2"/>
  <c r="C3" i="2"/>
  <c r="C4" i="2" l="1"/>
  <c r="D4" i="2" s="1"/>
  <c r="E4" i="2" s="1"/>
  <c r="F4" i="2" s="1"/>
  <c r="G4" i="2" s="1"/>
</calcChain>
</file>

<file path=xl/sharedStrings.xml><?xml version="1.0" encoding="utf-8"?>
<sst xmlns="http://schemas.openxmlformats.org/spreadsheetml/2006/main" count="131" uniqueCount="49">
  <si>
    <t>Z1</t>
  </si>
  <si>
    <t>Z2</t>
  </si>
  <si>
    <t>Z3</t>
  </si>
  <si>
    <t>Z4</t>
  </si>
  <si>
    <t>Z5</t>
  </si>
  <si>
    <t>Total</t>
  </si>
  <si>
    <t>Product</t>
  </si>
  <si>
    <t>p</t>
  </si>
  <si>
    <t>Eigenvalues</t>
  </si>
  <si>
    <t>n</t>
  </si>
  <si>
    <t>Percentage</t>
  </si>
  <si>
    <t>|R|</t>
  </si>
  <si>
    <t>Cumulative</t>
  </si>
  <si>
    <t>-Ln|R|</t>
  </si>
  <si>
    <t>factor</t>
  </si>
  <si>
    <t>Loadings</t>
  </si>
  <si>
    <t>Threshold</t>
  </si>
  <si>
    <t>X1</t>
  </si>
  <si>
    <t>X2</t>
  </si>
  <si>
    <t>p-value</t>
  </si>
  <si>
    <t>X3</t>
  </si>
  <si>
    <t>X4</t>
  </si>
  <si>
    <t>X5</t>
  </si>
  <si>
    <t>Explained Variance in Individual variables</t>
  </si>
  <si>
    <t>Cumulative Explained Variance in Individual variables</t>
  </si>
  <si>
    <r>
      <t>c</t>
    </r>
    <r>
      <rPr>
        <vertAlign val="subscript"/>
        <sz val="10"/>
        <rFont val="Arial"/>
        <family val="2"/>
      </rPr>
      <t>0</t>
    </r>
  </si>
  <si>
    <r>
      <t>(Loadings)</t>
    </r>
    <r>
      <rPr>
        <b/>
        <vertAlign val="superscript"/>
        <sz val="10"/>
        <color indexed="10"/>
        <rFont val="Arial"/>
        <family val="2"/>
      </rPr>
      <t>2</t>
    </r>
  </si>
  <si>
    <t>CONCLUSION</t>
  </si>
  <si>
    <t>Eigen Vectors</t>
  </si>
  <si>
    <t>U1</t>
  </si>
  <si>
    <t>U2</t>
  </si>
  <si>
    <t>U3</t>
  </si>
  <si>
    <t>U4</t>
  </si>
  <si>
    <t>U5</t>
  </si>
  <si>
    <t>X-Axis</t>
  </si>
  <si>
    <t>Y-Axis</t>
  </si>
  <si>
    <t>EIGENVALUES</t>
  </si>
  <si>
    <t>PPG</t>
  </si>
  <si>
    <t>DOW</t>
  </si>
  <si>
    <t>PRAXAIR</t>
  </si>
  <si>
    <t>EXXON</t>
  </si>
  <si>
    <t>BP</t>
  </si>
  <si>
    <t>RETAIN TWO COMPONENTS</t>
  </si>
  <si>
    <t>U_1</t>
  </si>
  <si>
    <t>U_2</t>
  </si>
  <si>
    <t>U_3</t>
  </si>
  <si>
    <t>U_4</t>
  </si>
  <si>
    <t>U_5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</si>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</sst>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%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0"/>
      <color indexed="48"/>
      <name val="Arial"/>
      <family val="2"/>
    </font>
    <font>
      <b/>
      <vertAlign val="superscript"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3" tint="0.39997558519241921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5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/>
    <xf numFmtId="165" fontId="0" fillId="0" borderId="1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2" fontId="9" fillId="0" borderId="0" xfId="0" applyNumberFormat="1" applyFont="1" applyFill="1" applyBorder="1" applyAlignment="1">
      <alignment horizontal="left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6" fillId="0" borderId="1" xfId="0" applyFont="1" applyBorder="1" applyAlignment="1">
      <alignment horizontal="center"/>
    </xf>
    <xf numFmtId="165" fontId="0" fillId="0" borderId="1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165" fontId="0" fillId="0" borderId="13" xfId="0" applyNumberFormat="1" applyBorder="1"/>
    <xf numFmtId="165" fontId="0" fillId="0" borderId="0" xfId="0" applyNumberFormat="1" applyBorder="1"/>
    <xf numFmtId="165" fontId="0" fillId="0" borderId="14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5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0" xfId="0" applyNumberFormat="1"/>
    <xf numFmtId="0" fontId="11" fillId="0" borderId="0" xfId="0" applyFont="1"/>
    <xf numFmtId="0" fontId="12" fillId="0" borderId="16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0" xfId="0" applyFont="1"/>
    <xf numFmtId="0" fontId="13" fillId="0" borderId="9" xfId="0" applyFont="1" applyBorder="1"/>
    <xf numFmtId="164" fontId="0" fillId="0" borderId="0" xfId="0" applyNumberFormat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3" fillId="0" borderId="11" xfId="0" applyFont="1" applyBorder="1"/>
    <xf numFmtId="0" fontId="13" fillId="0" borderId="12" xfId="0" applyFont="1" applyBorder="1"/>
    <xf numFmtId="0" fontId="13" fillId="0" borderId="15" xfId="0" applyFont="1" applyBorder="1"/>
    <xf numFmtId="0" fontId="3" fillId="0" borderId="0" xfId="0" applyFont="1"/>
    <xf numFmtId="0" fontId="2" fillId="0" borderId="0" xfId="0" applyFont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r>
              <a:rPr lang="en-US" sz="1400">
                <a:solidFill>
                  <a:srgbClr val="FF0000"/>
                </a:solidFill>
              </a:rPr>
              <a:t>Scree Plot</a:t>
            </a:r>
          </a:p>
        </c:rich>
      </c:tx>
      <c:layout>
        <c:manualLayout>
          <c:xMode val="edge"/>
          <c:yMode val="edge"/>
          <c:x val="0.43201846479716349"/>
          <c:y val="3.5483797069007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96520346166449"/>
          <c:y val="0.14177910710190353"/>
          <c:w val="0.82237018222780944"/>
          <c:h val="0.6549961139566291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'Scree Plot'!$A$2:$A$6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'Scree Plot'!$B$2:$B$6</c:f>
              <c:numCache>
                <c:formatCode>General</c:formatCode>
                <c:ptCount val="5"/>
                <c:pt idx="0">
                  <c:v>3.0010232093387597</c:v>
                </c:pt>
                <c:pt idx="1">
                  <c:v>0.96044750391734068</c:v>
                </c:pt>
                <c:pt idx="2">
                  <c:v>0.45081445921695551</c:v>
                </c:pt>
                <c:pt idx="3">
                  <c:v>0.34676701540620314</c:v>
                </c:pt>
                <c:pt idx="4">
                  <c:v>0.24094781212074187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'Scree Plot'!$E$25:$E$26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xVal>
          <c:yVal>
            <c:numRef>
              <c:f>'Scree Plot'!$F$25:$F$26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89760"/>
        <c:axId val="103600128"/>
      </c:scatterChart>
      <c:valAx>
        <c:axId val="103589760"/>
        <c:scaling>
          <c:orientation val="minMax"/>
          <c:max val="6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chemeClr val="accent1">
                        <a:lumMod val="7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i="1">
                    <a:solidFill>
                      <a:schemeClr val="accent1">
                        <a:lumMod val="75000"/>
                      </a:schemeClr>
                    </a:solidFill>
                  </a:rPr>
                  <a:t>Component Number</a:t>
                </a:r>
              </a:p>
            </c:rich>
          </c:tx>
          <c:layout>
            <c:manualLayout>
              <c:xMode val="edge"/>
              <c:yMode val="edge"/>
              <c:x val="0.41886057006032135"/>
              <c:y val="0.883872340147007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600128"/>
        <c:crosses val="autoZero"/>
        <c:crossBetween val="midCat"/>
      </c:valAx>
      <c:valAx>
        <c:axId val="103600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chemeClr val="accent1">
                        <a:lumMod val="7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i="1">
                    <a:solidFill>
                      <a:schemeClr val="accent1">
                        <a:lumMod val="75000"/>
                      </a:schemeClr>
                    </a:solidFill>
                  </a:rPr>
                  <a:t>Eigenvalue</a:t>
                </a:r>
              </a:p>
            </c:rich>
          </c:tx>
          <c:layout>
            <c:manualLayout>
              <c:xMode val="edge"/>
              <c:yMode val="edge"/>
              <c:x val="3.5087719298245612E-2"/>
              <c:y val="0.393548936058803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5897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70C0"/>
                </a:solidFill>
              </a:defRPr>
            </a:pPr>
            <a:r>
              <a:rPr lang="en-US" sz="1200">
                <a:solidFill>
                  <a:srgbClr val="0070C0"/>
                </a:solidFill>
              </a:rPr>
              <a:t>Loading Plot of First Two Principle Components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39495268683519"/>
          <c:y val="0.11599655511811023"/>
          <c:w val="0.79002365658240092"/>
          <c:h val="0.72529199475065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chemeClr val="tx1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PPG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DOW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PRAXAIR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EXXON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BP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 i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'Loading Plot'!$C$11:$C$15</c:f>
              <c:numCache>
                <c:formatCode>0.000</c:formatCode>
                <c:ptCount val="5"/>
                <c:pt idx="0">
                  <c:v>0.84804522679656158</c:v>
                </c:pt>
                <c:pt idx="1">
                  <c:v>0.76326118102198803</c:v>
                </c:pt>
                <c:pt idx="2">
                  <c:v>0.83208775557449832</c:v>
                </c:pt>
                <c:pt idx="3">
                  <c:v>0.6569457731081334</c:v>
                </c:pt>
                <c:pt idx="4">
                  <c:v>0.75850319077087525</c:v>
                </c:pt>
              </c:numCache>
            </c:numRef>
          </c:xVal>
          <c:yVal>
            <c:numRef>
              <c:f>'Loading Plot'!$D$11:$D$15</c:f>
              <c:numCache>
                <c:formatCode>0.000</c:formatCode>
                <c:ptCount val="5"/>
                <c:pt idx="0">
                  <c:v>-0.35412883926857885</c:v>
                </c:pt>
                <c:pt idx="1">
                  <c:v>-0.46697923972784322</c:v>
                </c:pt>
                <c:pt idx="2">
                  <c:v>-0.1132306598492081</c:v>
                </c:pt>
                <c:pt idx="3">
                  <c:v>0.6486473364736296</c:v>
                </c:pt>
                <c:pt idx="4">
                  <c:v>0.42825939491692944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32864"/>
        <c:axId val="143334784"/>
      </c:scatterChart>
      <c:valAx>
        <c:axId val="143332864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b="0" i="1">
                    <a:solidFill>
                      <a:srgbClr val="FF0000"/>
                    </a:solidFill>
                  </a:rPr>
                  <a:t>First Component </a:t>
                </a:r>
              </a:p>
            </c:rich>
          </c:tx>
          <c:layout>
            <c:manualLayout>
              <c:xMode val="edge"/>
              <c:yMode val="edge"/>
              <c:x val="0.41743507390523549"/>
              <c:y val="0.91338172572178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34784"/>
        <c:crosses val="autoZero"/>
        <c:crossBetween val="midCat"/>
        <c:majorUnit val="0.25"/>
      </c:valAx>
      <c:valAx>
        <c:axId val="14333478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b="0" i="1">
                    <a:solidFill>
                      <a:srgbClr val="FF0000"/>
                    </a:solidFill>
                  </a:rPr>
                  <a:t>Second Component</a:t>
                </a:r>
              </a:p>
            </c:rich>
          </c:tx>
          <c:layout>
            <c:manualLayout>
              <c:xMode val="edge"/>
              <c:yMode val="edge"/>
              <c:x val="1.6885964912280702E-2"/>
              <c:y val="0.2964490376202974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32864"/>
        <c:crosses val="autoZero"/>
        <c:crossBetween val="midCat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222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137160</xdr:colOff>
      <xdr:row>1</xdr:row>
      <xdr:rowOff>68580</xdr:rowOff>
    </xdr:from>
    <xdr:to>
      <xdr:col>10</xdr:col>
      <xdr:colOff>213360</xdr:colOff>
      <xdr:row>19</xdr:row>
      <xdr:rowOff>99060</xdr:rowOff>
    </xdr:to>
    <xdr:graphicFrame macro="">
      <xdr:nvGraphicFramePr>
        <xdr:cNvPr id="10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</xdr:colOff>
      <xdr:row>1</xdr:row>
      <xdr:rowOff>15240</xdr:rowOff>
    </xdr:from>
    <xdr:to>
      <xdr:col>15</xdr:col>
      <xdr:colOff>190500</xdr:colOff>
      <xdr:row>22</xdr:row>
      <xdr:rowOff>60960</xdr:rowOff>
    </xdr:to>
    <xdr:graphicFrame macro="">
      <xdr:nvGraphicFramePr>
        <xdr:cNvPr id="20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zoomScale="145" zoomScaleNormal="145" workbookViewId="0">
      <selection activeCell="B16" sqref="B16"/>
    </sheetView>
  </sheetViews>
  <sheetFormatPr defaultRowHeight="13.2" x14ac:dyDescent="0.25"/>
  <cols>
    <col min="1" max="1" width="17.6640625" customWidth="1"/>
    <col min="2" max="6" width="15.33203125" customWidth="1"/>
  </cols>
  <sheetData>
    <row r="1" spans="1:6" ht="14.4" x14ac:dyDescent="0.3">
      <c r="A1" s="58">
        <v>133</v>
      </c>
      <c r="B1" s="59" t="s">
        <v>37</v>
      </c>
      <c r="C1" s="59" t="s">
        <v>38</v>
      </c>
      <c r="D1" s="59" t="s">
        <v>39</v>
      </c>
      <c r="E1" s="59" t="s">
        <v>40</v>
      </c>
      <c r="F1" s="59" t="s">
        <v>41</v>
      </c>
    </row>
    <row r="2" spans="1:6" ht="14.4" x14ac:dyDescent="0.3">
      <c r="A2" s="60" t="s">
        <v>37</v>
      </c>
      <c r="B2" s="62">
        <v>0.99999999999999911</v>
      </c>
      <c r="C2" s="62">
        <v>0.7135186625098251</v>
      </c>
      <c r="D2" s="62">
        <v>0.68807918785408562</v>
      </c>
      <c r="E2" s="62">
        <v>0.35195106197174969</v>
      </c>
      <c r="F2" s="62">
        <v>0.45959207425853621</v>
      </c>
    </row>
    <row r="3" spans="1:6" ht="14.4" x14ac:dyDescent="0.3">
      <c r="A3" s="60" t="s">
        <v>38</v>
      </c>
      <c r="B3" s="62">
        <v>0.7135186625098251</v>
      </c>
      <c r="C3" s="62">
        <v>1.0000000000000007</v>
      </c>
      <c r="D3" s="62">
        <v>0.54176382732862827</v>
      </c>
      <c r="E3" s="62">
        <v>0.23882110291519568</v>
      </c>
      <c r="F3" s="62">
        <v>0.41465834902875826</v>
      </c>
    </row>
    <row r="4" spans="1:6" ht="14.4" x14ac:dyDescent="0.3">
      <c r="A4" s="60" t="s">
        <v>39</v>
      </c>
      <c r="B4" s="62">
        <v>0.68807918785408562</v>
      </c>
      <c r="C4" s="62">
        <v>0.54176382732862827</v>
      </c>
      <c r="D4" s="62">
        <v>1</v>
      </c>
      <c r="E4" s="62">
        <v>0.44641067320816941</v>
      </c>
      <c r="F4" s="62">
        <v>0.49403844471149777</v>
      </c>
    </row>
    <row r="5" spans="1:6" ht="14.4" x14ac:dyDescent="0.3">
      <c r="A5" s="60" t="s">
        <v>40</v>
      </c>
      <c r="B5" s="62">
        <v>0.35195106197174969</v>
      </c>
      <c r="C5" s="62">
        <v>0.23882110291519568</v>
      </c>
      <c r="D5" s="62">
        <v>0.44641067320816941</v>
      </c>
      <c r="E5" s="62">
        <v>1</v>
      </c>
      <c r="F5" s="62">
        <v>0.60956577971285009</v>
      </c>
    </row>
    <row r="6" spans="1:6" ht="15" thickBot="1" x14ac:dyDescent="0.35">
      <c r="A6" s="61" t="s">
        <v>41</v>
      </c>
      <c r="B6" s="31">
        <v>0.45959207425853621</v>
      </c>
      <c r="C6" s="31">
        <v>0.41465834902875826</v>
      </c>
      <c r="D6" s="31">
        <v>0.49403844471149777</v>
      </c>
      <c r="E6" s="31">
        <v>0.60956577971285009</v>
      </c>
      <c r="F6" s="31">
        <v>1</v>
      </c>
    </row>
    <row r="8" spans="1:6" x14ac:dyDescent="0.25">
      <c r="B8" s="50" t="s">
        <v>16</v>
      </c>
      <c r="C8" s="51">
        <v>0.5</v>
      </c>
    </row>
  </sheetData>
  <phoneticPr fontId="4" type="noConversion"/>
  <conditionalFormatting sqref="B2:F6">
    <cfRule type="cellIs" dxfId="4" priority="1" operator="notBetween">
      <formula>-$C$8</formula>
      <formula>$C$8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B8" sqref="B8"/>
    </sheetView>
  </sheetViews>
  <sheetFormatPr defaultRowHeight="13.2" x14ac:dyDescent="0.25"/>
  <cols>
    <col min="1" max="1" width="14.44140625" customWidth="1"/>
    <col min="2" max="6" width="12" customWidth="1"/>
  </cols>
  <sheetData>
    <row r="1" spans="1:6" ht="14.4" x14ac:dyDescent="0.3">
      <c r="A1" s="70" t="s">
        <v>36</v>
      </c>
      <c r="B1" s="70" t="s">
        <v>43</v>
      </c>
      <c r="C1" s="70" t="s">
        <v>44</v>
      </c>
      <c r="D1" s="70" t="s">
        <v>45</v>
      </c>
      <c r="E1" s="70" t="s">
        <v>46</v>
      </c>
      <c r="F1" s="70" t="s">
        <v>47</v>
      </c>
    </row>
    <row r="2" spans="1:6" ht="14.4" x14ac:dyDescent="0.3">
      <c r="A2" s="70">
        <v>3.0010232093387597</v>
      </c>
      <c r="B2" s="70">
        <f t="array" ref="B2:F6">B8:F8*B10:F14</f>
        <v>0.48953566418259165</v>
      </c>
      <c r="C2" s="70">
        <v>-0.36134702195939628</v>
      </c>
      <c r="D2" s="70">
        <v>9.8849075127912092E-2</v>
      </c>
      <c r="E2" s="70">
        <v>-0.12359813312201459</v>
      </c>
      <c r="F2" s="70">
        <v>0.77764742978389245</v>
      </c>
    </row>
    <row r="3" spans="1:6" ht="14.4" x14ac:dyDescent="0.3">
      <c r="A3" s="70">
        <v>0.96044750391734068</v>
      </c>
      <c r="B3" s="70">
        <v>0.44059391809538712</v>
      </c>
      <c r="C3" s="70">
        <v>-0.47649764402424721</v>
      </c>
      <c r="D3" s="70">
        <v>-0.48065328864128393</v>
      </c>
      <c r="E3" s="70">
        <v>-0.3283775509199155</v>
      </c>
      <c r="F3" s="70">
        <v>-0.48986487396715211</v>
      </c>
    </row>
    <row r="4" spans="1:6" ht="14.4" x14ac:dyDescent="0.3">
      <c r="A4" s="70">
        <v>0.45081445921695551</v>
      </c>
      <c r="B4" s="70">
        <v>0.48032418462167747</v>
      </c>
      <c r="C4" s="70">
        <v>-0.11553863225462273</v>
      </c>
      <c r="D4" s="70">
        <v>0.67950152529524277</v>
      </c>
      <c r="E4" s="70">
        <v>0.38600075595558853</v>
      </c>
      <c r="F4" s="70">
        <v>-0.38107820148547489</v>
      </c>
    </row>
    <row r="5" spans="1:6" ht="14.4" x14ac:dyDescent="0.3">
      <c r="A5" s="70">
        <v>0.34676701540620314</v>
      </c>
      <c r="B5" s="70">
        <v>0.37922315368161941</v>
      </c>
      <c r="C5" s="70">
        <v>0.66186866853528581</v>
      </c>
      <c r="D5" s="70">
        <v>0.16894032537957526</v>
      </c>
      <c r="E5" s="70">
        <v>-0.62203296678570474</v>
      </c>
      <c r="F5" s="70">
        <v>-5.1515240613945058E-2</v>
      </c>
    </row>
    <row r="6" spans="1:6" ht="14.4" x14ac:dyDescent="0.3">
      <c r="A6" s="70">
        <v>0.24094781212074187</v>
      </c>
      <c r="B6" s="70">
        <v>0.43784735948724396</v>
      </c>
      <c r="C6" s="70">
        <v>0.43698857539811825</v>
      </c>
      <c r="D6" s="70">
        <v>-0.51859244117780601</v>
      </c>
      <c r="E6" s="70">
        <v>0.58392644243438729</v>
      </c>
      <c r="F6" s="70">
        <v>8.6153726215037571E-2</v>
      </c>
    </row>
    <row r="8" spans="1:6" ht="14.4" x14ac:dyDescent="0.3">
      <c r="A8" s="71" t="s">
        <v>48</v>
      </c>
      <c r="B8" s="72">
        <v>-1</v>
      </c>
      <c r="C8" s="72">
        <v>-1</v>
      </c>
      <c r="D8" s="72">
        <v>1</v>
      </c>
      <c r="E8" s="72">
        <v>1</v>
      </c>
      <c r="F8" s="72">
        <v>1</v>
      </c>
    </row>
    <row r="9" spans="1:6" ht="14.4" x14ac:dyDescent="0.3">
      <c r="A9" s="73" t="s">
        <v>36</v>
      </c>
      <c r="B9" s="73" t="s">
        <v>43</v>
      </c>
      <c r="C9" s="73" t="s">
        <v>44</v>
      </c>
      <c r="D9" s="73" t="s">
        <v>45</v>
      </c>
      <c r="E9" s="73" t="s">
        <v>46</v>
      </c>
      <c r="F9" s="73" t="s">
        <v>47</v>
      </c>
    </row>
    <row r="10" spans="1:6" ht="14.4" x14ac:dyDescent="0.3">
      <c r="A10" s="73">
        <v>3.0010232093387597</v>
      </c>
      <c r="B10" s="73">
        <v>-0.48953566418259165</v>
      </c>
      <c r="C10" s="73">
        <v>0.36134702195939628</v>
      </c>
      <c r="D10" s="73">
        <v>9.8849075127912092E-2</v>
      </c>
      <c r="E10" s="73">
        <v>-0.12359813312201459</v>
      </c>
      <c r="F10" s="73">
        <v>0.77764742978389245</v>
      </c>
    </row>
    <row r="11" spans="1:6" ht="14.4" x14ac:dyDescent="0.3">
      <c r="A11" s="73">
        <v>0.96044750391734068</v>
      </c>
      <c r="B11" s="73">
        <v>-0.44059391809538712</v>
      </c>
      <c r="C11" s="73">
        <v>0.47649764402424721</v>
      </c>
      <c r="D11" s="73">
        <v>-0.48065328864128393</v>
      </c>
      <c r="E11" s="73">
        <v>-0.3283775509199155</v>
      </c>
      <c r="F11" s="73">
        <v>-0.48986487396715211</v>
      </c>
    </row>
    <row r="12" spans="1:6" ht="14.4" x14ac:dyDescent="0.3">
      <c r="A12" s="73">
        <v>0.45081445921695551</v>
      </c>
      <c r="B12" s="73">
        <v>-0.48032418462167747</v>
      </c>
      <c r="C12" s="73">
        <v>0.11553863225462273</v>
      </c>
      <c r="D12" s="73">
        <v>0.67950152529524277</v>
      </c>
      <c r="E12" s="73">
        <v>0.38600075595558853</v>
      </c>
      <c r="F12" s="73">
        <v>-0.38107820148547489</v>
      </c>
    </row>
    <row r="13" spans="1:6" ht="14.4" x14ac:dyDescent="0.3">
      <c r="A13" s="73">
        <v>0.34676701540620314</v>
      </c>
      <c r="B13" s="73">
        <v>-0.37922315368161941</v>
      </c>
      <c r="C13" s="73">
        <v>-0.66186866853528581</v>
      </c>
      <c r="D13" s="73">
        <v>0.16894032537957526</v>
      </c>
      <c r="E13" s="73">
        <v>-0.62203296678570474</v>
      </c>
      <c r="F13" s="73">
        <v>-5.1515240613945058E-2</v>
      </c>
    </row>
    <row r="14" spans="1:6" ht="14.4" x14ac:dyDescent="0.3">
      <c r="A14" s="73">
        <v>0.24094781212074187</v>
      </c>
      <c r="B14" s="73">
        <v>-0.43784735948724396</v>
      </c>
      <c r="C14" s="73">
        <v>-0.43698857539811825</v>
      </c>
      <c r="D14" s="73">
        <v>-0.51859244117780601</v>
      </c>
      <c r="E14" s="73">
        <v>0.58392644243438729</v>
      </c>
      <c r="F14" s="73">
        <v>8.6153726215037571E-2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4"/>
  <sheetViews>
    <sheetView tabSelected="1" zoomScaleNormal="100" workbookViewId="0">
      <selection activeCell="I34" sqref="I34"/>
    </sheetView>
  </sheetViews>
  <sheetFormatPr defaultRowHeight="13.2" x14ac:dyDescent="0.25"/>
  <cols>
    <col min="1" max="1" width="5.44140625" customWidth="1"/>
    <col min="2" max="2" width="16.44140625" customWidth="1"/>
    <col min="3" max="7" width="7.33203125" customWidth="1"/>
    <col min="8" max="8" width="9" bestFit="1" customWidth="1"/>
    <col min="9" max="9" width="11.88671875" customWidth="1"/>
    <col min="12" max="12" width="12.33203125" bestFit="1" customWidth="1"/>
    <col min="14" max="17" width="9" bestFit="1" customWidth="1"/>
  </cols>
  <sheetData>
    <row r="1" spans="1:21" ht="13.8" thickBot="1" x14ac:dyDescent="0.3">
      <c r="B1" s="1"/>
      <c r="C1" s="63" t="s">
        <v>0</v>
      </c>
      <c r="D1" s="64" t="s">
        <v>1</v>
      </c>
      <c r="E1" s="64" t="s">
        <v>2</v>
      </c>
      <c r="F1" s="64" t="s">
        <v>3</v>
      </c>
      <c r="G1" s="65" t="s">
        <v>4</v>
      </c>
      <c r="H1" s="5" t="s">
        <v>5</v>
      </c>
      <c r="I1" s="6" t="s">
        <v>6</v>
      </c>
      <c r="K1" s="5" t="s">
        <v>7</v>
      </c>
      <c r="L1" s="5">
        <v>5</v>
      </c>
    </row>
    <row r="2" spans="1:21" ht="13.8" thickBot="1" x14ac:dyDescent="0.3">
      <c r="B2" s="7" t="s">
        <v>8</v>
      </c>
      <c r="C2" s="53">
        <f t="array" ref="C2:G2">TRANSPOSE('MINITAB OUTPUT'!A2:A6)</f>
        <v>3.0010232093387597</v>
      </c>
      <c r="D2" s="54">
        <v>0.96044750391734068</v>
      </c>
      <c r="E2" s="54">
        <v>0.45081445921695551</v>
      </c>
      <c r="F2" s="54">
        <v>0.34676701540620314</v>
      </c>
      <c r="G2" s="55">
        <v>0.24094781212074187</v>
      </c>
      <c r="H2" s="8">
        <f>SUM(C2:G2)</f>
        <v>5.0000000000000009</v>
      </c>
      <c r="I2" s="9">
        <f>PRODUCT(C2:G2)</f>
        <v>0.10856793838523063</v>
      </c>
      <c r="K2" s="5" t="s">
        <v>9</v>
      </c>
      <c r="L2" s="5">
        <v>100</v>
      </c>
    </row>
    <row r="3" spans="1:21" x14ac:dyDescent="0.25">
      <c r="B3" s="7" t="s">
        <v>10</v>
      </c>
      <c r="C3" s="10">
        <f>C2/$H$2</f>
        <v>0.6002046418677518</v>
      </c>
      <c r="D3" s="11">
        <f>D2/$H$2</f>
        <v>0.19208950078346809</v>
      </c>
      <c r="E3" s="11">
        <f>E2/$H$2</f>
        <v>9.0162891843391088E-2</v>
      </c>
      <c r="F3" s="11">
        <f>F2/$H$2</f>
        <v>6.9353403081240619E-2</v>
      </c>
      <c r="G3" s="12">
        <f>G2/$H$2</f>
        <v>4.8189562424148367E-2</v>
      </c>
      <c r="K3" s="5" t="s">
        <v>11</v>
      </c>
      <c r="L3" s="5">
        <f>I2</f>
        <v>0.10856793838523063</v>
      </c>
    </row>
    <row r="4" spans="1:21" ht="13.8" thickBot="1" x14ac:dyDescent="0.3">
      <c r="B4" s="13" t="s">
        <v>12</v>
      </c>
      <c r="C4" s="14">
        <f>C3</f>
        <v>0.6002046418677518</v>
      </c>
      <c r="D4" s="15">
        <f>C4+D3</f>
        <v>0.79229414265121989</v>
      </c>
      <c r="E4" s="15">
        <f>D4+E3</f>
        <v>0.88245703449461099</v>
      </c>
      <c r="F4" s="15">
        <f>E4+F3</f>
        <v>0.9518104375758516</v>
      </c>
      <c r="G4" s="16">
        <f>F4+G3</f>
        <v>1</v>
      </c>
      <c r="K4" s="17" t="s">
        <v>13</v>
      </c>
      <c r="L4" s="5">
        <f>-LN(L3)</f>
        <v>2.2203791417256049</v>
      </c>
    </row>
    <row r="5" spans="1:21" ht="13.8" thickBot="1" x14ac:dyDescent="0.3">
      <c r="K5" s="5" t="s">
        <v>14</v>
      </c>
      <c r="L5" s="5">
        <f>(L2-1)-(2*L1+5)/6</f>
        <v>96.5</v>
      </c>
    </row>
    <row r="6" spans="1:21" ht="16.2" thickBot="1" x14ac:dyDescent="0.4">
      <c r="B6" s="18" t="s">
        <v>28</v>
      </c>
      <c r="C6" s="2" t="s">
        <v>29</v>
      </c>
      <c r="D6" s="3" t="s">
        <v>30</v>
      </c>
      <c r="E6" s="3" t="s">
        <v>31</v>
      </c>
      <c r="F6" s="3" t="s">
        <v>32</v>
      </c>
      <c r="G6" s="4" t="s">
        <v>33</v>
      </c>
      <c r="K6" s="20" t="s">
        <v>25</v>
      </c>
      <c r="L6" s="5">
        <f>L5*L4</f>
        <v>214.26658717652089</v>
      </c>
      <c r="N6" s="69"/>
      <c r="O6" s="69"/>
      <c r="P6" s="69"/>
      <c r="Q6" s="69"/>
      <c r="R6" s="69"/>
      <c r="S6" s="69"/>
    </row>
    <row r="7" spans="1:21" ht="14.4" x14ac:dyDescent="0.3">
      <c r="A7" s="21" t="s">
        <v>17</v>
      </c>
      <c r="B7" s="66" t="s">
        <v>37</v>
      </c>
      <c r="C7" s="22">
        <f t="array" ref="C7:G11">'MINITAB OUTPUT'!B2:F6</f>
        <v>0.48953566418259165</v>
      </c>
      <c r="D7" s="23">
        <v>-0.36134702195939628</v>
      </c>
      <c r="E7" s="23">
        <v>9.8849075127912092E-2</v>
      </c>
      <c r="F7" s="23">
        <v>-0.12359813312201459</v>
      </c>
      <c r="G7" s="24">
        <v>0.77764742978389245</v>
      </c>
      <c r="K7" s="20" t="s">
        <v>9</v>
      </c>
      <c r="L7" s="5">
        <f>(POWER(L1,2)-L1)/2</f>
        <v>10</v>
      </c>
      <c r="N7" s="69"/>
      <c r="O7" s="69"/>
      <c r="P7" s="69"/>
      <c r="Q7" s="69"/>
      <c r="R7" s="69"/>
      <c r="S7" s="69"/>
    </row>
    <row r="8" spans="1:21" ht="14.4" x14ac:dyDescent="0.3">
      <c r="A8" s="25" t="s">
        <v>18</v>
      </c>
      <c r="B8" s="67" t="s">
        <v>38</v>
      </c>
      <c r="C8" s="26">
        <v>0.44059391809538712</v>
      </c>
      <c r="D8" s="27">
        <v>-0.47649764402424721</v>
      </c>
      <c r="E8" s="27">
        <v>-0.48065328864128393</v>
      </c>
      <c r="F8" s="27">
        <v>-0.3283775509199155</v>
      </c>
      <c r="G8" s="28">
        <v>-0.48986487396715211</v>
      </c>
      <c r="K8" s="5" t="s">
        <v>19</v>
      </c>
      <c r="L8" s="5">
        <f>CHIDIST(L6,L7)</f>
        <v>1.6922082947100447E-40</v>
      </c>
      <c r="N8" s="69"/>
      <c r="O8" s="69"/>
      <c r="P8" s="69"/>
      <c r="Q8" s="69"/>
      <c r="R8" s="69"/>
      <c r="S8" s="69"/>
    </row>
    <row r="9" spans="1:21" ht="14.4" x14ac:dyDescent="0.3">
      <c r="A9" s="25" t="s">
        <v>20</v>
      </c>
      <c r="B9" s="67" t="s">
        <v>39</v>
      </c>
      <c r="C9" s="26">
        <v>0.48032418462167747</v>
      </c>
      <c r="D9" s="27">
        <v>-0.11553863225462273</v>
      </c>
      <c r="E9" s="27">
        <v>0.67950152529524277</v>
      </c>
      <c r="F9" s="27">
        <v>0.38600075595558853</v>
      </c>
      <c r="G9" s="28">
        <v>-0.38107820148547489</v>
      </c>
      <c r="N9" s="69"/>
      <c r="O9" s="69"/>
      <c r="P9" s="69"/>
      <c r="Q9" s="69"/>
      <c r="R9" s="69"/>
      <c r="S9" s="69"/>
    </row>
    <row r="10" spans="1:21" ht="14.4" x14ac:dyDescent="0.3">
      <c r="A10" s="25" t="s">
        <v>21</v>
      </c>
      <c r="B10" s="67" t="s">
        <v>40</v>
      </c>
      <c r="C10" s="26">
        <v>0.37922315368161941</v>
      </c>
      <c r="D10" s="27">
        <v>0.66186866853528581</v>
      </c>
      <c r="E10" s="27">
        <v>0.16894032537957526</v>
      </c>
      <c r="F10" s="27">
        <v>-0.62203296678570474</v>
      </c>
      <c r="G10" s="28">
        <v>-5.1515240613945058E-2</v>
      </c>
      <c r="N10" s="69"/>
      <c r="O10" s="69"/>
      <c r="P10" s="69"/>
      <c r="Q10" s="69"/>
      <c r="R10" s="69"/>
      <c r="S10" s="69"/>
    </row>
    <row r="11" spans="1:21" ht="15" thickBot="1" x14ac:dyDescent="0.35">
      <c r="A11" s="29" t="s">
        <v>22</v>
      </c>
      <c r="B11" s="68" t="s">
        <v>41</v>
      </c>
      <c r="C11" s="30">
        <v>0.43784735948724396</v>
      </c>
      <c r="D11" s="31">
        <v>0.43698857539811825</v>
      </c>
      <c r="E11" s="31">
        <v>-0.51859244117780601</v>
      </c>
      <c r="F11" s="31">
        <v>0.58392644243438729</v>
      </c>
      <c r="G11" s="32">
        <v>8.6153726215037571E-2</v>
      </c>
      <c r="N11" s="69"/>
      <c r="O11" s="69"/>
      <c r="P11" s="69"/>
      <c r="Q11" s="69"/>
      <c r="R11" s="69"/>
      <c r="S11" s="69"/>
    </row>
    <row r="12" spans="1:21" ht="13.8" thickBot="1" x14ac:dyDescent="0.3"/>
    <row r="13" spans="1:21" ht="13.8" thickBot="1" x14ac:dyDescent="0.3">
      <c r="B13" s="18" t="s">
        <v>15</v>
      </c>
      <c r="C13" s="63" t="s">
        <v>0</v>
      </c>
      <c r="D13" s="64" t="s">
        <v>1</v>
      </c>
      <c r="E13" s="64" t="s">
        <v>2</v>
      </c>
      <c r="F13" s="64" t="s">
        <v>3</v>
      </c>
      <c r="G13" s="65" t="s">
        <v>4</v>
      </c>
      <c r="I13" s="19" t="s">
        <v>16</v>
      </c>
    </row>
    <row r="14" spans="1:21" ht="14.4" x14ac:dyDescent="0.3">
      <c r="A14" s="21" t="s">
        <v>17</v>
      </c>
      <c r="B14" s="66" t="s">
        <v>37</v>
      </c>
      <c r="C14" s="22">
        <f t="array" ref="C14:G18">C7:G11*POWER(C2:G2,0.5)</f>
        <v>0.84804522679656158</v>
      </c>
      <c r="D14" s="23">
        <v>-0.35412883926857885</v>
      </c>
      <c r="E14" s="23">
        <v>6.6369955845176618E-2</v>
      </c>
      <c r="F14" s="23">
        <v>-7.2783142241885312E-2</v>
      </c>
      <c r="G14" s="24">
        <v>0.38171940174998131</v>
      </c>
      <c r="I14" s="18">
        <v>0.45</v>
      </c>
      <c r="O14" s="57"/>
      <c r="P14" s="57"/>
      <c r="Q14" s="57"/>
      <c r="R14" s="57"/>
      <c r="S14" s="57"/>
      <c r="T14" s="56"/>
      <c r="U14" s="56"/>
    </row>
    <row r="15" spans="1:21" ht="14.4" x14ac:dyDescent="0.3">
      <c r="A15" s="25" t="s">
        <v>18</v>
      </c>
      <c r="B15" s="67" t="s">
        <v>38</v>
      </c>
      <c r="C15" s="26">
        <v>0.76326118102198803</v>
      </c>
      <c r="D15" s="27">
        <v>-0.46697923972784322</v>
      </c>
      <c r="E15" s="27">
        <v>-0.32272368257043055</v>
      </c>
      <c r="F15" s="27">
        <v>-0.19337144820829946</v>
      </c>
      <c r="G15" s="28">
        <v>-0.24045720395557138</v>
      </c>
      <c r="O15" s="57"/>
      <c r="P15" s="57"/>
      <c r="Q15" s="57"/>
      <c r="R15" s="57"/>
      <c r="S15" s="57"/>
      <c r="T15" s="56"/>
      <c r="U15" s="56"/>
    </row>
    <row r="16" spans="1:21" ht="14.4" x14ac:dyDescent="0.3">
      <c r="A16" s="25" t="s">
        <v>20</v>
      </c>
      <c r="B16" s="67" t="s">
        <v>39</v>
      </c>
      <c r="C16" s="26">
        <v>0.83208775557449832</v>
      </c>
      <c r="D16" s="27">
        <v>-0.1132306598492081</v>
      </c>
      <c r="E16" s="27">
        <v>0.4562357935288453</v>
      </c>
      <c r="F16" s="27">
        <v>0.22730398280738154</v>
      </c>
      <c r="G16" s="28">
        <v>-0.18705770445537112</v>
      </c>
      <c r="O16" s="57"/>
      <c r="P16" s="57"/>
      <c r="Q16" s="57"/>
      <c r="R16" s="57"/>
      <c r="S16" s="57"/>
      <c r="T16" s="56"/>
      <c r="U16" s="56"/>
    </row>
    <row r="17" spans="1:21" ht="14.4" x14ac:dyDescent="0.3">
      <c r="A17" s="25" t="s">
        <v>21</v>
      </c>
      <c r="B17" s="67" t="s">
        <v>40</v>
      </c>
      <c r="C17" s="26">
        <v>0.6569457731081334</v>
      </c>
      <c r="D17" s="27">
        <v>0.6486473364736296</v>
      </c>
      <c r="E17" s="27">
        <v>0.11343112640561348</v>
      </c>
      <c r="F17" s="27">
        <v>-0.36629609814585468</v>
      </c>
      <c r="G17" s="28">
        <v>-2.5286995205045761E-2</v>
      </c>
      <c r="O17" s="57"/>
      <c r="P17" s="57"/>
      <c r="Q17" s="57"/>
      <c r="R17" s="57"/>
      <c r="S17" s="57"/>
      <c r="T17" s="56"/>
      <c r="U17" s="56"/>
    </row>
    <row r="18" spans="1:21" ht="15" thickBot="1" x14ac:dyDescent="0.35">
      <c r="A18" s="29" t="s">
        <v>22</v>
      </c>
      <c r="B18" s="68" t="s">
        <v>41</v>
      </c>
      <c r="C18" s="30">
        <v>0.75850319077087525</v>
      </c>
      <c r="D18" s="31">
        <v>0.42825939491692944</v>
      </c>
      <c r="E18" s="31">
        <v>-0.34819706080279172</v>
      </c>
      <c r="F18" s="31">
        <v>0.34385633702528967</v>
      </c>
      <c r="G18" s="32">
        <v>4.2289792995875992E-2</v>
      </c>
      <c r="O18" s="57"/>
      <c r="P18" s="57"/>
      <c r="Q18" s="57"/>
      <c r="R18" s="57"/>
      <c r="S18" s="57"/>
      <c r="T18" s="56"/>
      <c r="U18" s="56"/>
    </row>
    <row r="20" spans="1:21" ht="13.8" thickBot="1" x14ac:dyDescent="0.3">
      <c r="B20" s="33" t="s">
        <v>23</v>
      </c>
    </row>
    <row r="21" spans="1:21" ht="16.2" thickBot="1" x14ac:dyDescent="0.3">
      <c r="B21" s="18" t="s">
        <v>26</v>
      </c>
      <c r="C21" s="2" t="s">
        <v>0</v>
      </c>
      <c r="D21" s="3" t="s">
        <v>1</v>
      </c>
      <c r="E21" s="3" t="s">
        <v>2</v>
      </c>
      <c r="F21" s="3" t="s">
        <v>3</v>
      </c>
      <c r="G21" s="4" t="s">
        <v>4</v>
      </c>
      <c r="I21" s="19" t="s">
        <v>16</v>
      </c>
    </row>
    <row r="22" spans="1:21" ht="14.4" x14ac:dyDescent="0.3">
      <c r="A22" s="21" t="s">
        <v>17</v>
      </c>
      <c r="B22" s="66" t="s">
        <v>37</v>
      </c>
      <c r="C22" s="10">
        <f t="array" ref="C22:G26">POWER(C14:G18,2)</f>
        <v>0.71918070669243161</v>
      </c>
      <c r="D22" s="11">
        <v>0.12540723480171095</v>
      </c>
      <c r="E22" s="11">
        <v>4.4049710388906942E-3</v>
      </c>
      <c r="F22" s="11">
        <v>5.2973857946025105E-3</v>
      </c>
      <c r="G22" s="12">
        <v>0.14570970167236363</v>
      </c>
      <c r="I22" s="18">
        <v>0.25</v>
      </c>
    </row>
    <row r="23" spans="1:21" ht="14.4" x14ac:dyDescent="0.3">
      <c r="A23" s="25" t="s">
        <v>18</v>
      </c>
      <c r="B23" s="67" t="s">
        <v>38</v>
      </c>
      <c r="C23" s="34">
        <v>0.58256763045507998</v>
      </c>
      <c r="D23" s="35">
        <v>0.21806961033679448</v>
      </c>
      <c r="E23" s="35">
        <v>0.10415057529182002</v>
      </c>
      <c r="F23" s="35">
        <v>3.7392516982175043E-2</v>
      </c>
      <c r="G23" s="36">
        <v>5.781966693413125E-2</v>
      </c>
    </row>
    <row r="24" spans="1:21" ht="14.4" x14ac:dyDescent="0.3">
      <c r="A24" s="25" t="s">
        <v>20</v>
      </c>
      <c r="B24" s="67" t="s">
        <v>39</v>
      </c>
      <c r="C24" s="34">
        <v>0.69237003297700606</v>
      </c>
      <c r="D24" s="35">
        <v>1.2821182329887068E-2</v>
      </c>
      <c r="E24" s="35">
        <v>0.20815109929689515</v>
      </c>
      <c r="F24" s="35">
        <v>5.1667100600098402E-2</v>
      </c>
      <c r="G24" s="36">
        <v>3.4990584796112972E-2</v>
      </c>
    </row>
    <row r="25" spans="1:21" ht="14.4" x14ac:dyDescent="0.3">
      <c r="A25" s="25" t="s">
        <v>21</v>
      </c>
      <c r="B25" s="67" t="s">
        <v>40</v>
      </c>
      <c r="C25" s="34">
        <v>0.43157774880464311</v>
      </c>
      <c r="D25" s="35">
        <v>0.42074336711433408</v>
      </c>
      <c r="E25" s="35">
        <v>1.2866620437646263E-2</v>
      </c>
      <c r="F25" s="35">
        <v>0.13417283151687759</v>
      </c>
      <c r="G25" s="36">
        <v>6.394321265000073E-4</v>
      </c>
    </row>
    <row r="26" spans="1:21" ht="15" thickBot="1" x14ac:dyDescent="0.35">
      <c r="A26" s="29" t="s">
        <v>22</v>
      </c>
      <c r="B26" s="68" t="s">
        <v>41</v>
      </c>
      <c r="C26" s="14">
        <v>0.57532709040959873</v>
      </c>
      <c r="D26" s="15">
        <v>0.18340610933461451</v>
      </c>
      <c r="E26" s="15">
        <v>0.12124119315170304</v>
      </c>
      <c r="F26" s="15">
        <v>0.11823718051244959</v>
      </c>
      <c r="G26" s="16">
        <v>1.7884265916340422E-3</v>
      </c>
    </row>
    <row r="28" spans="1:21" ht="13.8" thickBot="1" x14ac:dyDescent="0.3">
      <c r="B28" s="33" t="s">
        <v>24</v>
      </c>
    </row>
    <row r="29" spans="1:21" ht="13.8" thickBot="1" x14ac:dyDescent="0.3">
      <c r="B29" s="37"/>
      <c r="C29" s="2" t="s">
        <v>0</v>
      </c>
      <c r="D29" s="3" t="s">
        <v>1</v>
      </c>
      <c r="E29" s="3" t="s">
        <v>2</v>
      </c>
      <c r="F29" s="3" t="s">
        <v>3</v>
      </c>
      <c r="G29" s="4" t="s">
        <v>4</v>
      </c>
      <c r="I29" s="19" t="s">
        <v>16</v>
      </c>
    </row>
    <row r="30" spans="1:21" ht="14.4" x14ac:dyDescent="0.3">
      <c r="A30" s="21" t="s">
        <v>17</v>
      </c>
      <c r="B30" s="66" t="s">
        <v>37</v>
      </c>
      <c r="C30" s="38">
        <f t="array" ref="C30:C34">C22:C26</f>
        <v>0.71918070669243161</v>
      </c>
      <c r="D30" s="39">
        <f t="array" ref="D30:D34">C30:C34+D22:D26</f>
        <v>0.84458794149414262</v>
      </c>
      <c r="E30" s="39">
        <f t="array" ref="E30:E34">D30:D34+E22:E26</f>
        <v>0.84899291253303333</v>
      </c>
      <c r="F30" s="39">
        <f t="array" ref="F30:F34">E30:E34+F22:F26</f>
        <v>0.85429029832763581</v>
      </c>
      <c r="G30" s="40">
        <f t="array" ref="G30:G34">F30:F34+G22:G26</f>
        <v>0.99999999999999944</v>
      </c>
      <c r="I30" s="18">
        <v>0.9</v>
      </c>
    </row>
    <row r="31" spans="1:21" ht="14.4" x14ac:dyDescent="0.3">
      <c r="A31" s="25" t="s">
        <v>18</v>
      </c>
      <c r="B31" s="67" t="s">
        <v>38</v>
      </c>
      <c r="C31" s="41">
        <v>0.58256763045507998</v>
      </c>
      <c r="D31" s="42">
        <v>0.80063724079187448</v>
      </c>
      <c r="E31" s="42">
        <v>0.90478781608369452</v>
      </c>
      <c r="F31" s="42">
        <v>0.94218033306586957</v>
      </c>
      <c r="G31" s="43">
        <v>1.0000000000000009</v>
      </c>
    </row>
    <row r="32" spans="1:21" ht="14.4" x14ac:dyDescent="0.3">
      <c r="A32" s="25" t="s">
        <v>20</v>
      </c>
      <c r="B32" s="67" t="s">
        <v>39</v>
      </c>
      <c r="C32" s="41">
        <v>0.69237003297700606</v>
      </c>
      <c r="D32" s="42">
        <v>0.7051912153068931</v>
      </c>
      <c r="E32" s="42">
        <v>0.91334231460378823</v>
      </c>
      <c r="F32" s="42">
        <v>0.96500941520388661</v>
      </c>
      <c r="G32" s="43">
        <v>0.99999999999999956</v>
      </c>
    </row>
    <row r="33" spans="1:7" ht="14.4" x14ac:dyDescent="0.3">
      <c r="A33" s="25" t="s">
        <v>21</v>
      </c>
      <c r="B33" s="67" t="s">
        <v>40</v>
      </c>
      <c r="C33" s="41">
        <v>0.43157774880464311</v>
      </c>
      <c r="D33" s="42">
        <v>0.85232111591897719</v>
      </c>
      <c r="E33" s="42">
        <v>0.86518773635662349</v>
      </c>
      <c r="F33" s="42">
        <v>0.99936056787350114</v>
      </c>
      <c r="G33" s="43">
        <v>1.0000000000000011</v>
      </c>
    </row>
    <row r="34" spans="1:7" ht="15" thickBot="1" x14ac:dyDescent="0.35">
      <c r="A34" s="29" t="s">
        <v>22</v>
      </c>
      <c r="B34" s="68" t="s">
        <v>41</v>
      </c>
      <c r="C34" s="44">
        <v>0.57532709040959873</v>
      </c>
      <c r="D34" s="45">
        <v>0.75873319974421327</v>
      </c>
      <c r="E34" s="45">
        <v>0.87997439289591628</v>
      </c>
      <c r="F34" s="45">
        <v>0.99821157340836586</v>
      </c>
      <c r="G34" s="46">
        <v>0.99999999999999989</v>
      </c>
    </row>
  </sheetData>
  <phoneticPr fontId="4" type="noConversion"/>
  <conditionalFormatting sqref="C30:G34">
    <cfRule type="cellIs" dxfId="3" priority="1" stopIfTrue="1" operator="lessThanOrEqual">
      <formula>$I$30</formula>
    </cfRule>
  </conditionalFormatting>
  <conditionalFormatting sqref="C22:G26">
    <cfRule type="cellIs" dxfId="2" priority="2" stopIfTrue="1" operator="notBetween">
      <formula>$I$22</formula>
      <formula>-$I$22</formula>
    </cfRule>
  </conditionalFormatting>
  <conditionalFormatting sqref="C14:G18">
    <cfRule type="cellIs" dxfId="1" priority="3" stopIfTrue="1" operator="notBetween">
      <formula>$I$14</formula>
      <formula>-$I$14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6"/>
  <sheetViews>
    <sheetView zoomScaleNormal="100" workbookViewId="0">
      <selection activeCell="I31" sqref="I31"/>
    </sheetView>
  </sheetViews>
  <sheetFormatPr defaultRowHeight="13.2" x14ac:dyDescent="0.25"/>
  <cols>
    <col min="2" max="2" width="10.6640625" customWidth="1"/>
  </cols>
  <sheetData>
    <row r="1" spans="1:2" ht="13.8" thickBot="1" x14ac:dyDescent="0.3">
      <c r="B1" s="9" t="s">
        <v>8</v>
      </c>
    </row>
    <row r="2" spans="1:2" x14ac:dyDescent="0.25">
      <c r="A2" s="47">
        <v>1</v>
      </c>
      <c r="B2" s="47">
        <v>3.0010232093387597</v>
      </c>
    </row>
    <row r="3" spans="1:2" x14ac:dyDescent="0.25">
      <c r="A3" s="48">
        <v>2</v>
      </c>
      <c r="B3" s="48">
        <v>0.96044750391734068</v>
      </c>
    </row>
    <row r="4" spans="1:2" x14ac:dyDescent="0.25">
      <c r="A4" s="48">
        <v>3</v>
      </c>
      <c r="B4" s="48">
        <v>0.45081445921695551</v>
      </c>
    </row>
    <row r="5" spans="1:2" x14ac:dyDescent="0.25">
      <c r="A5" s="48">
        <v>4</v>
      </c>
      <c r="B5" s="48">
        <v>0.34676701540620314</v>
      </c>
    </row>
    <row r="6" spans="1:2" ht="13.8" thickBot="1" x14ac:dyDescent="0.3">
      <c r="A6" s="49">
        <v>5</v>
      </c>
      <c r="B6" s="49">
        <v>0.24094781212074187</v>
      </c>
    </row>
    <row r="22" spans="4:8" x14ac:dyDescent="0.25">
      <c r="D22" s="52" t="s">
        <v>27</v>
      </c>
      <c r="E22" s="52"/>
      <c r="F22" s="52" t="s">
        <v>42</v>
      </c>
      <c r="G22" s="52"/>
      <c r="H22" s="52"/>
    </row>
    <row r="25" spans="4:8" x14ac:dyDescent="0.25">
      <c r="E25">
        <v>0</v>
      </c>
      <c r="F25">
        <v>1</v>
      </c>
    </row>
    <row r="26" spans="4:8" x14ac:dyDescent="0.25">
      <c r="E26">
        <v>6</v>
      </c>
      <c r="F26">
        <v>1</v>
      </c>
    </row>
  </sheetData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0"/>
  <sheetViews>
    <sheetView workbookViewId="0">
      <selection activeCell="D10" sqref="D10"/>
    </sheetView>
  </sheetViews>
  <sheetFormatPr defaultRowHeight="13.2" x14ac:dyDescent="0.25"/>
  <cols>
    <col min="1" max="1" width="5.44140625" customWidth="1"/>
    <col min="2" max="2" width="16.44140625" customWidth="1"/>
    <col min="3" max="7" width="7.33203125" customWidth="1"/>
    <col min="8" max="8" width="3.44140625" customWidth="1"/>
    <col min="9" max="9" width="11.88671875" customWidth="1"/>
  </cols>
  <sheetData>
    <row r="1" spans="1:21" ht="13.8" thickBot="1" x14ac:dyDescent="0.3">
      <c r="C1" s="5">
        <v>1</v>
      </c>
      <c r="D1" s="5">
        <v>2</v>
      </c>
      <c r="E1" s="5">
        <v>3</v>
      </c>
      <c r="F1" s="5">
        <v>4</v>
      </c>
      <c r="G1" s="5">
        <v>5</v>
      </c>
    </row>
    <row r="2" spans="1:21" ht="13.8" thickBot="1" x14ac:dyDescent="0.3">
      <c r="B2" s="18" t="s">
        <v>15</v>
      </c>
      <c r="C2" s="2" t="s">
        <v>0</v>
      </c>
      <c r="D2" s="3" t="s">
        <v>1</v>
      </c>
      <c r="E2" s="3" t="s">
        <v>2</v>
      </c>
      <c r="F2" s="3" t="s">
        <v>3</v>
      </c>
      <c r="G2" s="4" t="s">
        <v>4</v>
      </c>
      <c r="I2" s="19"/>
    </row>
    <row r="3" spans="1:21" ht="14.4" x14ac:dyDescent="0.3">
      <c r="A3" s="21" t="s">
        <v>17</v>
      </c>
      <c r="B3" s="66" t="s">
        <v>37</v>
      </c>
      <c r="C3" s="22">
        <f t="array" ref="C3:G7">'Loading Analysis'!C14:G18</f>
        <v>0.84804522679656158</v>
      </c>
      <c r="D3" s="23">
        <v>-0.35412883926857885</v>
      </c>
      <c r="E3" s="23">
        <v>6.6369955845176618E-2</v>
      </c>
      <c r="F3" s="23">
        <v>-7.2783142241885312E-2</v>
      </c>
      <c r="G3" s="24">
        <v>0.38171940174998131</v>
      </c>
      <c r="I3" s="18"/>
      <c r="Q3" s="56"/>
      <c r="R3" s="56"/>
      <c r="S3" s="56"/>
      <c r="T3" s="56"/>
      <c r="U3" s="56"/>
    </row>
    <row r="4" spans="1:21" ht="14.4" x14ac:dyDescent="0.3">
      <c r="A4" s="25" t="s">
        <v>18</v>
      </c>
      <c r="B4" s="67" t="s">
        <v>38</v>
      </c>
      <c r="C4" s="26">
        <v>0.76326118102198803</v>
      </c>
      <c r="D4" s="27">
        <v>-0.46697923972784322</v>
      </c>
      <c r="E4" s="27">
        <v>-0.32272368257043055</v>
      </c>
      <c r="F4" s="27">
        <v>-0.19337144820829946</v>
      </c>
      <c r="G4" s="28">
        <v>-0.24045720395557138</v>
      </c>
      <c r="Q4" s="56"/>
      <c r="R4" s="56"/>
      <c r="S4" s="56"/>
      <c r="T4" s="56"/>
      <c r="U4" s="56"/>
    </row>
    <row r="5" spans="1:21" ht="14.4" x14ac:dyDescent="0.3">
      <c r="A5" s="25" t="s">
        <v>20</v>
      </c>
      <c r="B5" s="67" t="s">
        <v>39</v>
      </c>
      <c r="C5" s="26">
        <v>0.83208775557449832</v>
      </c>
      <c r="D5" s="27">
        <v>-0.1132306598492081</v>
      </c>
      <c r="E5" s="27">
        <v>0.4562357935288453</v>
      </c>
      <c r="F5" s="27">
        <v>0.22730398280738154</v>
      </c>
      <c r="G5" s="28">
        <v>-0.18705770445537112</v>
      </c>
      <c r="Q5" s="56"/>
      <c r="R5" s="56"/>
      <c r="S5" s="56"/>
      <c r="T5" s="56"/>
      <c r="U5" s="56"/>
    </row>
    <row r="6" spans="1:21" ht="14.4" x14ac:dyDescent="0.3">
      <c r="A6" s="25" t="s">
        <v>21</v>
      </c>
      <c r="B6" s="67" t="s">
        <v>40</v>
      </c>
      <c r="C6" s="26">
        <v>0.6569457731081334</v>
      </c>
      <c r="D6" s="27">
        <v>0.6486473364736296</v>
      </c>
      <c r="E6" s="27">
        <v>0.11343112640561348</v>
      </c>
      <c r="F6" s="27">
        <v>-0.36629609814585468</v>
      </c>
      <c r="G6" s="28">
        <v>-2.5286995205045761E-2</v>
      </c>
      <c r="Q6" s="56"/>
      <c r="R6" s="56"/>
      <c r="S6" s="56"/>
      <c r="T6" s="56"/>
      <c r="U6" s="56"/>
    </row>
    <row r="7" spans="1:21" ht="15" thickBot="1" x14ac:dyDescent="0.35">
      <c r="A7" s="29" t="s">
        <v>22</v>
      </c>
      <c r="B7" s="68" t="s">
        <v>41</v>
      </c>
      <c r="C7" s="30">
        <v>0.75850319077087525</v>
      </c>
      <c r="D7" s="31">
        <v>0.42825939491692944</v>
      </c>
      <c r="E7" s="31">
        <v>-0.34819706080279172</v>
      </c>
      <c r="F7" s="31">
        <v>0.34385633702528967</v>
      </c>
      <c r="G7" s="32">
        <v>4.2289792995875992E-2</v>
      </c>
      <c r="Q7" s="56"/>
      <c r="R7" s="56"/>
      <c r="S7" s="56"/>
      <c r="T7" s="56"/>
      <c r="U7" s="56"/>
    </row>
    <row r="9" spans="1:21" x14ac:dyDescent="0.25">
      <c r="C9" s="5">
        <v>1</v>
      </c>
      <c r="D9" s="5">
        <v>2</v>
      </c>
    </row>
    <row r="10" spans="1:21" x14ac:dyDescent="0.25">
      <c r="C10" s="5" t="s">
        <v>34</v>
      </c>
      <c r="D10" s="5" t="s">
        <v>35</v>
      </c>
    </row>
    <row r="11" spans="1:21" x14ac:dyDescent="0.25">
      <c r="A11" s="5">
        <v>3</v>
      </c>
      <c r="B11" t="str">
        <f>B3</f>
        <v>PPG</v>
      </c>
      <c r="C11" s="56">
        <f>HLOOKUP(C$9,$C$1:$G$7,$A11,FALSE)</f>
        <v>0.84804522679656158</v>
      </c>
      <c r="D11" s="56">
        <f t="shared" ref="D11:D15" si="0">HLOOKUP(D$9,$C$1:$G$7,$A11,FALSE)</f>
        <v>-0.35412883926857885</v>
      </c>
    </row>
    <row r="12" spans="1:21" x14ac:dyDescent="0.25">
      <c r="A12" s="5">
        <f>A11+1</f>
        <v>4</v>
      </c>
      <c r="B12" t="str">
        <f>B4</f>
        <v>DOW</v>
      </c>
      <c r="C12" s="56">
        <f t="shared" ref="C12:C15" si="1">HLOOKUP(C$9,$C$1:$G$7,$A12,FALSE)</f>
        <v>0.76326118102198803</v>
      </c>
      <c r="D12" s="56">
        <f t="shared" si="0"/>
        <v>-0.46697923972784322</v>
      </c>
    </row>
    <row r="13" spans="1:21" x14ac:dyDescent="0.25">
      <c r="A13" s="5">
        <f t="shared" ref="A13:A15" si="2">A12+1</f>
        <v>5</v>
      </c>
      <c r="B13" t="str">
        <f>B5</f>
        <v>PRAXAIR</v>
      </c>
      <c r="C13" s="56">
        <f t="shared" si="1"/>
        <v>0.83208775557449832</v>
      </c>
      <c r="D13" s="56">
        <f t="shared" si="0"/>
        <v>-0.1132306598492081</v>
      </c>
    </row>
    <row r="14" spans="1:21" x14ac:dyDescent="0.25">
      <c r="A14" s="5">
        <f t="shared" si="2"/>
        <v>6</v>
      </c>
      <c r="B14" t="str">
        <f>B6</f>
        <v>EXXON</v>
      </c>
      <c r="C14" s="56">
        <f t="shared" si="1"/>
        <v>0.6569457731081334</v>
      </c>
      <c r="D14" s="56">
        <f t="shared" si="0"/>
        <v>0.6486473364736296</v>
      </c>
    </row>
    <row r="15" spans="1:21" x14ac:dyDescent="0.25">
      <c r="A15" s="5">
        <f t="shared" si="2"/>
        <v>7</v>
      </c>
      <c r="B15" t="str">
        <f>B7</f>
        <v>BP</v>
      </c>
      <c r="C15" s="56">
        <f t="shared" si="1"/>
        <v>0.75850319077087525</v>
      </c>
      <c r="D15" s="56">
        <f t="shared" si="0"/>
        <v>0.42825939491692944</v>
      </c>
    </row>
    <row r="19" spans="3:7" x14ac:dyDescent="0.25">
      <c r="C19" s="56"/>
      <c r="D19" s="56"/>
      <c r="E19" s="56"/>
      <c r="F19" s="56"/>
      <c r="G19" s="56"/>
    </row>
    <row r="20" spans="3:7" x14ac:dyDescent="0.25">
      <c r="C20" s="56"/>
      <c r="D20" s="56"/>
      <c r="E20" s="56"/>
      <c r="F20" s="56"/>
      <c r="G20" s="56"/>
    </row>
  </sheetData>
  <phoneticPr fontId="4" type="noConversion"/>
  <conditionalFormatting sqref="C3:G7">
    <cfRule type="cellIs" dxfId="0" priority="1" stopIfTrue="1" operator="notBetween">
      <formula>$I$14</formula>
      <formula>-$I$14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Correlation Matrix</vt:lpstr>
      <vt:lpstr>MINITAB OUTPUT</vt:lpstr>
      <vt:lpstr>Loading Analysis</vt:lpstr>
      <vt:lpstr>Scree Plot</vt:lpstr>
      <vt:lpstr>Loading Plot</vt:lpstr>
    </vt:vector>
  </TitlesOfParts>
  <Company>GWU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Rene</cp:lastModifiedBy>
  <dcterms:created xsi:type="dcterms:W3CDTF">2006-11-15T20:43:22Z</dcterms:created>
  <dcterms:modified xsi:type="dcterms:W3CDTF">2020-11-12T20:49:32Z</dcterms:modified>
</cp:coreProperties>
</file>